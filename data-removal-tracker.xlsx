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Foundations" sheetId="3" state="visible" r:id="rId5"/>
    <sheet name="People-Search Sites" sheetId="4" state="visible" r:id="rId6"/>
    <sheet name="Aggregators" sheetId="5" state="visible" r:id="rId7"/>
    <sheet name="Accounts &amp; Social" sheetId="6" state="visible" r:id="rId8"/>
    <sheet name="Setu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<sst xmlns="http://schemas.openxmlformats.org/spreadsheetml/2006/main" count="460" uniqueCount="335">
  <si>
    <t xml:space="preserve">Personal Data Removal Tracker</t>
  </si>
  <si>
    <t xml:space="preserve">Ramu Reddy  |  Created July 2026</t>
  </si>
  <si>
    <t xml:space="preserve">How to use this workbook</t>
  </si>
  <si>
    <t xml:space="preserve">1.</t>
  </si>
  <si>
    <t xml:space="preserve">Work top-down. Rows are ordered by exposure removed per minute spent, not alphabetically.</t>
  </si>
  <si>
    <t xml:space="preserve">2.</t>
  </si>
  <si>
    <t xml:space="preserve">Set up a throwaway email BEFORE you start (see Setup tab). Brokers add your opt-out address to marketing lists.</t>
  </si>
  <si>
    <t xml:space="preserve">3.</t>
  </si>
  <si>
    <t xml:space="preserve">Search yourself on each site first and paste the exact profile URL into the 'Profile URL found' column - most opt-outs require it.</t>
  </si>
  <si>
    <t xml:space="preserve">4.</t>
  </si>
  <si>
    <t xml:space="preserve">Check for DUPLICATE listings. Old addresses and name variants often produce 2-3 profiles per site. Removing one leaves the others live.</t>
  </si>
  <si>
    <t xml:space="preserve">5.</t>
  </si>
  <si>
    <t xml:space="preserve">Update the Status dropdown as you go. The Dashboard tab counts automatically.</t>
  </si>
  <si>
    <t xml:space="preserve">6.</t>
  </si>
  <si>
    <t xml:space="preserve">Set a calendar reminder for 90 days out. Data reappears. This is a cycle, not a project.</t>
  </si>
  <si>
    <t xml:space="preserve">Status values</t>
  </si>
  <si>
    <t xml:space="preserve">Not started</t>
  </si>
  <si>
    <t xml:space="preserve">Haven't touched it yet.</t>
  </si>
  <si>
    <t xml:space="preserve">Submitted</t>
  </si>
  <si>
    <t xml:space="preserve">Request sent, no confirmation needed or none received yet.</t>
  </si>
  <si>
    <t xml:space="preserve">Confirmation pending</t>
  </si>
  <si>
    <t xml:space="preserve">Waiting on an email/SMS verification link. CHECK YOUR THROWAWAY INBOX - unclicked links are the #1 reason opt-outs fail.</t>
  </si>
  <si>
    <t xml:space="preserve">Removed - verified</t>
  </si>
  <si>
    <t xml:space="preserve">You searched again and the listing is gone. Only mark this after actually re-checking.</t>
  </si>
  <si>
    <t xml:space="preserve">Reappeared</t>
  </si>
  <si>
    <t xml:space="preserve">Was removed, has come back. Re-submit and note the date.</t>
  </si>
  <si>
    <t xml:space="preserve">Blocked / N/A</t>
  </si>
  <si>
    <t xml:space="preserve">Site requires ID you won't send, doesn't list you, or process is broken.</t>
  </si>
  <si>
    <t xml:space="preserve">Never do these</t>
  </si>
  <si>
    <t xml:space="preserve">-</t>
  </si>
  <si>
    <t xml:space="preserve">Never pay a people-search site to remove you. Free opt-out is legally required. Paid 'premium removal' is a scam.</t>
  </si>
  <si>
    <t xml:space="preserve">Never use your primary email for opt-out forms.</t>
  </si>
  <si>
    <t xml:space="preserve">Never send a photo of your ID unless the site is a major aggregator (LexisNexis, CoreLogic) and it is genuinely required. Redact all but name and address.</t>
  </si>
  <si>
    <t xml:space="preserve">Progress Dashboard</t>
  </si>
  <si>
    <t xml:space="preserve">Counts update automatically as you fill in the Status columns.</t>
  </si>
  <si>
    <t xml:space="preserve">Section</t>
  </si>
  <si>
    <t xml:space="preserve">Total items</t>
  </si>
  <si>
    <t xml:space="preserve">Done</t>
  </si>
  <si>
    <t xml:space="preserve">In flight</t>
  </si>
  <si>
    <t xml:space="preserve">% complete</t>
  </si>
  <si>
    <t xml:space="preserve">Foundations</t>
  </si>
  <si>
    <t xml:space="preserve">People-Search Sites</t>
  </si>
  <si>
    <t xml:space="preserve">Aggregators</t>
  </si>
  <si>
    <t xml:space="preserve">Accounts &amp; Social</t>
  </si>
  <si>
    <t xml:space="preserve">TOTAL</t>
  </si>
  <si>
    <t xml:space="preserve">Reappeared anywhere?</t>
  </si>
  <si>
    <t xml:space="preserve">If this is above zero, it's time to consider a paid service (see playbook Step 7).</t>
  </si>
  <si>
    <t xml:space="preserve">Priority</t>
  </si>
  <si>
    <t xml:space="preserve">Task</t>
  </si>
  <si>
    <t xml:space="preserve">URL / where</t>
  </si>
  <si>
    <t xml:space="preserve">Status</t>
  </si>
  <si>
    <t xml:space="preserve">Date done</t>
  </si>
  <si>
    <t xml:space="preserve">Confirmation / PIN stored?</t>
  </si>
  <si>
    <t xml:space="preserve">Notes</t>
  </si>
  <si>
    <t xml:space="preserve">Set up throwaway opt-out email</t>
  </si>
  <si>
    <t xml:space="preserve">Gmail - e.g. optout.rr.2026@gmail.com</t>
  </si>
  <si>
    <t xml:space="preserve">Do this FIRST. Every opt-out below uses it.</t>
  </si>
  <si>
    <t xml:space="preserve">Set up Google Voice number for verification</t>
  </si>
  <si>
    <t xml:space="preserve">https://voice.google.com</t>
  </si>
  <si>
    <t xml:space="preserve">Some brokers verify by phone call. Don't give your real mobile.</t>
  </si>
  <si>
    <t xml:space="preserve">Freeze credit - Equifax</t>
  </si>
  <si>
    <t xml:space="preserve">https://www.equifax.com/personal/credit-report-services/credit-freeze/</t>
  </si>
  <si>
    <t xml:space="preserve">Free. Save the PIN.</t>
  </si>
  <si>
    <t xml:space="preserve">Freeze credit - Experian</t>
  </si>
  <si>
    <t xml:space="preserve">https://www.experian.com/freeze/center.html</t>
  </si>
  <si>
    <t xml:space="preserve">Freeze credit - TransUnion</t>
  </si>
  <si>
    <t xml:space="preserve">https://www.transunion.com/credit-freeze</t>
  </si>
  <si>
    <t xml:space="preserve">Freeze credit - Innovis</t>
  </si>
  <si>
    <t xml:space="preserve">https://www.innovis.com/personal/securityFreeze</t>
  </si>
  <si>
    <t xml:space="preserve">Fourth bureau. Commonly missed.</t>
  </si>
  <si>
    <t xml:space="preserve">Freeze - NCTUE (telecom/utilities)</t>
  </si>
  <si>
    <t xml:space="preserve">https://www.nctue.com/consumers</t>
  </si>
  <si>
    <t xml:space="preserve">Blocks phone/utility accounts opened in your name.</t>
  </si>
  <si>
    <t xml:space="preserve">Freeze - ChexSystems (bank accounts)</t>
  </si>
  <si>
    <t xml:space="preserve">https://www.chexsystems.com/security-freeze/place-freeze</t>
  </si>
  <si>
    <t xml:space="preserve">Used by ~80% of banks to screen new checking accounts.</t>
  </si>
  <si>
    <t xml:space="preserve">Google 'Results about you' - set up monitoring</t>
  </si>
  <si>
    <t xml:space="preserve">https://myactivity.google.com/results-about-you</t>
  </si>
  <si>
    <t xml:space="preserve">Enter all name variants, addresses, phones, emails. Turn on notifications.</t>
  </si>
  <si>
    <t xml:space="preserve">LinkedIn - public profile visibility OFF</t>
  </si>
  <si>
    <t xml:space="preserve">Settings &amp; Privacy &gt; Visibility &gt; Edit your public profile</t>
  </si>
  <si>
    <t xml:space="preserve">Single highest-value toggle. 2 minutes.</t>
  </si>
  <si>
    <t xml:space="preserve">CALIFORNIA ONLY: submit DROP request</t>
  </si>
  <si>
    <t xml:space="preserve">https://privacy.ca.gov/drop</t>
  </si>
  <si>
    <t xml:space="preserve">One request covers 575+ registered brokers. Processing begins Aug 1 2026. Do before paying for any service.</t>
  </si>
  <si>
    <t xml:space="preserve">Install Global Privacy Control browser</t>
  </si>
  <si>
    <t xml:space="preserve">https://globalprivacycontrol.org</t>
  </si>
  <si>
    <t xml:space="preserve">Brave/Firefox/DuckDuckGo. Legally binding opt-out in 12 states as of Jan 2026.</t>
  </si>
  <si>
    <t xml:space="preserve">Google direct removal request (leftovers)</t>
  </si>
  <si>
    <t xml:space="preserve">https://support.google.com/websearch/troubleshooter/9685456</t>
  </si>
  <si>
    <t xml:space="preserve">For anything 'Results about you' missed.</t>
  </si>
  <si>
    <t xml:space="preserve">Bing content removal</t>
  </si>
  <si>
    <t xml:space="preserve">https://www.bing.com/webmasters/tools/contentremoval</t>
  </si>
  <si>
    <t xml:space="preserve">National Do Not Call Registry</t>
  </si>
  <si>
    <t xml:space="preserve">https://www.donotcall.gov</t>
  </si>
  <si>
    <t xml:space="preserve">Free, 2 minutes.</t>
  </si>
  <si>
    <t xml:space="preserve">OptOutPrescreen (credit/insurance offers)</t>
  </si>
  <si>
    <t xml:space="preserve">https://www.optoutprescreen.com</t>
  </si>
  <si>
    <t xml:space="preserve">Choose the PERMANENT option - requires mailing a form.</t>
  </si>
  <si>
    <t xml:space="preserve">DMAchoice (direct mail)</t>
  </si>
  <si>
    <t xml:space="preserve">https://www.dmachoice.org</t>
  </si>
  <si>
    <t xml:space="preserve">$6 for 10 years.</t>
  </si>
  <si>
    <t xml:space="preserve">Yellow Pages opt-out</t>
  </si>
  <si>
    <t xml:space="preserve">https://www.yellowpagesoptout.com</t>
  </si>
  <si>
    <t xml:space="preserve">Check breach exposure</t>
  </si>
  <si>
    <t xml:space="preserve">https://haveibeenpwned.com</t>
  </si>
  <si>
    <t xml:space="preserve">Also reveals forgotten accounts. Rotate any reused passwords.</t>
  </si>
  <si>
    <t xml:space="preserve">Optery FREE scan (diagnostic)</t>
  </si>
  <si>
    <t xml:space="preserve">https://www.optery.com</t>
  </si>
  <si>
    <t xml:space="preserve">Free tier shows exactly which sites list you, with screenshots. Worth it even if you never pay.</t>
  </si>
  <si>
    <t xml:space="preserve">Set up email aliasing service</t>
  </si>
  <si>
    <t xml:space="preserve">SimpleLogin / Fastmail / Apple Hide My Email / DuckDuckGo</t>
  </si>
  <si>
    <t xml:space="preserve">Stops future resupply. Gmail +tags don't work - brokers strip them.</t>
  </si>
  <si>
    <t xml:space="preserve">Get a PO Box or virtual mailbox</t>
  </si>
  <si>
    <t xml:space="preserve">UPS Store / USPS / Anytime Mailbox</t>
  </si>
  <si>
    <t xml:space="preserve">For anything not legally required to use your residence.</t>
  </si>
  <si>
    <t xml:space="preserve">SAFETY: check state Address Confidentiality Program</t>
  </si>
  <si>
    <t xml:space="preserve">Your Secretary of State or AG office</t>
  </si>
  <si>
    <t xml:space="preserve">~40 states. Seals the public record - the one thing you otherwise cannot remove. Only if you qualify (DV/stalking/trafficking).</t>
  </si>
  <si>
    <t xml:space="preserve">Tier</t>
  </si>
  <si>
    <t xml:space="preserve">Site</t>
  </si>
  <si>
    <t xml:space="preserve">Opt-out URL</t>
  </si>
  <si>
    <t xml:space="preserve">Method</t>
  </si>
  <si>
    <t xml:space="preserve">Profile URL found (paste here)</t>
  </si>
  <si>
    <t xml:space="preserve">Date submitted</t>
  </si>
  <si>
    <t xml:space="preserve">Date verified gone</t>
  </si>
  <si>
    <t xml:space="preserve">Recheck date</t>
  </si>
  <si>
    <t xml:space="preserve">Whitepages</t>
  </si>
  <si>
    <t xml:space="preserve">https://www.whitepages.com/suppression_requests</t>
  </si>
  <si>
    <t xml:space="preserve">Profile URL + phone verification (automated call, 4-digit code)</t>
  </si>
  <si>
    <t xml:space="preserve">Spokeo</t>
  </si>
  <si>
    <t xml:space="preserve">https://www.spokeo.com/optout</t>
  </si>
  <si>
    <t xml:space="preserve">Profile URL + email confirmation</t>
  </si>
  <si>
    <t xml:space="preserve">BeenVerified</t>
  </si>
  <si>
    <t xml:space="preserve">https://www.beenverified.com/app/optout/search</t>
  </si>
  <si>
    <t xml:space="preserve">Search, select record, email confirm</t>
  </si>
  <si>
    <t xml:space="preserve">Radaris</t>
  </si>
  <si>
    <t xml:space="preserve">https://radaris.com/control/privacy</t>
  </si>
  <si>
    <t xml:space="preserve">Claim profile, then remove</t>
  </si>
  <si>
    <t xml:space="preserve">Intelius</t>
  </si>
  <si>
    <t xml:space="preserve">https://www.intelius.com/opt-out/</t>
  </si>
  <si>
    <t xml:space="preserve">Email + confirmation link</t>
  </si>
  <si>
    <t xml:space="preserve">TruePeopleSearch</t>
  </si>
  <si>
    <t xml:space="preserve">https://www.truepeoplesearch.com/removal</t>
  </si>
  <si>
    <t xml:space="preserve">Profile URL + email</t>
  </si>
  <si>
    <t xml:space="preserve">FastPeopleSearch</t>
  </si>
  <si>
    <t xml:space="preserve">https://www.fastpeoplesearch.com/removal</t>
  </si>
  <si>
    <t xml:space="preserve">PeopleFinders</t>
  </si>
  <si>
    <t xml:space="preserve">https://www.peoplefinders.com/opt-out</t>
  </si>
  <si>
    <t xml:space="preserve">Name + state, select, email</t>
  </si>
  <si>
    <t xml:space="preserve">TruthFinder</t>
  </si>
  <si>
    <t xml:space="preserve">https://www.truthfinder.com/opt-out/</t>
  </si>
  <si>
    <t xml:space="preserve">Search + email confirm</t>
  </si>
  <si>
    <t xml:space="preserve">Nuwber</t>
  </si>
  <si>
    <t xml:space="preserve">https://nuwber.com/removal/link</t>
  </si>
  <si>
    <t xml:space="preserve">USPhoneBook</t>
  </si>
  <si>
    <t xml:space="preserve">https://www.usphonebook.com/opt-out</t>
  </si>
  <si>
    <t xml:space="preserve">Profile URL + phone</t>
  </si>
  <si>
    <t xml:space="preserve">PeopleLooker</t>
  </si>
  <si>
    <t xml:space="preserve">https://www.peoplelooker.com/f/optout/search</t>
  </si>
  <si>
    <t xml:space="preserve">Search + email</t>
  </si>
  <si>
    <t xml:space="preserve">Instant Checkmate</t>
  </si>
  <si>
    <t xml:space="preserve">https://www.instantcheckmate.com/opt-out/</t>
  </si>
  <si>
    <t xml:space="preserve">SmartBackgroundChecks</t>
  </si>
  <si>
    <t xml:space="preserve">https://www.smartbackgroundchecks.com/optoutcheck</t>
  </si>
  <si>
    <t xml:space="preserve">Advanced Background Checks</t>
  </si>
  <si>
    <t xml:space="preserve">https://www.advancedbackgroundchecks.com/removal</t>
  </si>
  <si>
    <t xml:space="preserve">CheckPeople</t>
  </si>
  <si>
    <t xml:space="preserve">https://www.checkpeople.com/opt-out</t>
  </si>
  <si>
    <t xml:space="preserve">ClustrMaps</t>
  </si>
  <si>
    <t xml:space="preserve">https://clustrmaps.com/bl/opt-out</t>
  </si>
  <si>
    <t xml:space="preserve">Address-based - check each prior address</t>
  </si>
  <si>
    <t xml:space="preserve">PublicRecordsNow</t>
  </si>
  <si>
    <t xml:space="preserve">https://www.publicrecordsnow.com/optout/</t>
  </si>
  <si>
    <t xml:space="preserve">Search + confirm</t>
  </si>
  <si>
    <t xml:space="preserve">USSearch</t>
  </si>
  <si>
    <t xml:space="preserve">https://www.ussearch.com/opt-out/</t>
  </si>
  <si>
    <t xml:space="preserve">ZabaSearch</t>
  </si>
  <si>
    <t xml:space="preserve">https://www.zabasearch.com/block_records/</t>
  </si>
  <si>
    <t xml:space="preserve">Form submission</t>
  </si>
  <si>
    <t xml:space="preserve">AnyWho</t>
  </si>
  <si>
    <t xml:space="preserve">https://www.anywho.com/optout</t>
  </si>
  <si>
    <t xml:space="preserve">Profile URL</t>
  </si>
  <si>
    <t xml:space="preserve">411.com</t>
  </si>
  <si>
    <t xml:space="preserve">https://www.411.com/privacy/manage</t>
  </si>
  <si>
    <t xml:space="preserve">Profile URL + phone verify</t>
  </si>
  <si>
    <t xml:space="preserve">Addresses.com</t>
  </si>
  <si>
    <t xml:space="preserve">https://www.addresses.com/optout.php</t>
  </si>
  <si>
    <t xml:space="preserve">NeighborWho</t>
  </si>
  <si>
    <t xml:space="preserve">https://www.neighborwho.com/optout-search</t>
  </si>
  <si>
    <t xml:space="preserve">Ownerly</t>
  </si>
  <si>
    <t xml:space="preserve">https://www.ownerly.com/optout-search</t>
  </si>
  <si>
    <t xml:space="preserve">PeopleSmart</t>
  </si>
  <si>
    <t xml:space="preserve">https://www.peoplesmart.com/optout-search</t>
  </si>
  <si>
    <t xml:space="preserve">SearchPeopleFree</t>
  </si>
  <si>
    <t xml:space="preserve">https://www.searchpeoplefree.com/opt-out</t>
  </si>
  <si>
    <t xml:space="preserve">ThatsThem</t>
  </si>
  <si>
    <t xml:space="preserve">https://thatsthem.com/optout</t>
  </si>
  <si>
    <t xml:space="preserve">Cyber Background Checks</t>
  </si>
  <si>
    <t xml:space="preserve">https://www.cyberbackgroundchecks.com/removal</t>
  </si>
  <si>
    <t xml:space="preserve">Pipl</t>
  </si>
  <si>
    <t xml:space="preserve">https://pipl.com/personal-information-removal-request</t>
  </si>
  <si>
    <t xml:space="preserve">Form</t>
  </si>
  <si>
    <t xml:space="preserve">Additional 70+ sites - use maintained list</t>
  </si>
  <si>
    <t xml:space="preserve">https://privacyinsightsolutions.com/data-broker-opt-out-list</t>
  </si>
  <si>
    <t xml:space="preserve">See playbook Step 4. Consider a paid service for this long tail.</t>
  </si>
  <si>
    <t xml:space="preserve">Company</t>
  </si>
  <si>
    <t xml:space="preserve">Opt-out / suppression URL</t>
  </si>
  <si>
    <t xml:space="preserve">Response due (45 days)</t>
  </si>
  <si>
    <t xml:space="preserve">LexisNexis - information suppression</t>
  </si>
  <si>
    <t xml:space="preserve">https://optout.lexisnexis.com/</t>
  </si>
  <si>
    <t xml:space="preserve">Most important aggregator. Feeds many downstream sites.</t>
  </si>
  <si>
    <t xml:space="preserve">LexisNexis - consumer report security freeze</t>
  </si>
  <si>
    <t xml:space="preserve">https://consumer.risk.lexisnexis.com/freeze</t>
  </si>
  <si>
    <t xml:space="preserve">SEPARATE from the suppression request above. Do both.</t>
  </si>
  <si>
    <t xml:space="preserve">Acxiom</t>
  </si>
  <si>
    <t xml:space="preserve">https://isapps.acxiom.com/optout/optout.aspx</t>
  </si>
  <si>
    <t xml:space="preserve">Also see aboutthedata.com</t>
  </si>
  <si>
    <t xml:space="preserve">Epsilon</t>
  </si>
  <si>
    <t xml:space="preserve">https://legal.epsilon.com/dsr/</t>
  </si>
  <si>
    <t xml:space="preserve">Or email optout@epsilon.com</t>
  </si>
  <si>
    <t xml:space="preserve">Oracle Data Cloud</t>
  </si>
  <si>
    <t xml:space="preserve">https://www.oracle.com/legal/privacy/marketing-cloud-data-cloud-privacy-policy.html</t>
  </si>
  <si>
    <t xml:space="preserve">CoreLogic</t>
  </si>
  <si>
    <t xml:space="preserve">Email privacy@corelogic.com</t>
  </si>
  <si>
    <t xml:space="preserve">Opt-out form download on their privacy page. Also offers a security freeze.</t>
  </si>
  <si>
    <t xml:space="preserve">Thomson Reuters CLEAR</t>
  </si>
  <si>
    <t xml:space="preserve">https://www.thomsonreuters.com/en/privacy-statement.html</t>
  </si>
  <si>
    <t xml:space="preserve">Suppression request form. Law-enforcement-grade database.</t>
  </si>
  <si>
    <t xml:space="preserve">Experian Marketing Services</t>
  </si>
  <si>
    <t xml:space="preserve">https://www.experian.com/privacy/opting_out</t>
  </si>
  <si>
    <t xml:space="preserve">Separate from the credit freeze.</t>
  </si>
  <si>
    <t xml:space="preserve">Equifax marketing data</t>
  </si>
  <si>
    <t xml:space="preserve">https://www.equifax.com/personal/privacy/</t>
  </si>
  <si>
    <t xml:space="preserve">Verisk / ISO (insurance data)</t>
  </si>
  <si>
    <t xml:space="preserve">https://www.verisk.com/legal/consumer-inquiry/</t>
  </si>
  <si>
    <t xml:space="preserve">Insurance claims history.</t>
  </si>
  <si>
    <t xml:space="preserve">If a company misses the 45-day statutory deadline, that is an enforceable violation. File with your state Attorney General.</t>
  </si>
  <si>
    <t xml:space="preserve">Platform / account</t>
  </si>
  <si>
    <t xml:space="preserve">Action needed</t>
  </si>
  <si>
    <t xml:space="preserve">Where</t>
  </si>
  <si>
    <t xml:space="preserve">LinkedIn</t>
  </si>
  <si>
    <t xml:space="preserve">Public profile visibility OFF</t>
  </si>
  <si>
    <t xml:space="preserve">Settings &gt; Visibility &gt; Edit your public profile</t>
  </si>
  <si>
    <t xml:space="preserve">Highest value. Removes you from Google/Bing.</t>
  </si>
  <si>
    <t xml:space="preserve">Profile viewing = Private mode</t>
  </si>
  <si>
    <t xml:space="preserve">Settings &gt; Visibility</t>
  </si>
  <si>
    <t xml:space="preserve">Connections visible to: Only you</t>
  </si>
  <si>
    <t xml:space="preserve">Discovery by email / phone = Nobody</t>
  </si>
  <si>
    <t xml:space="preserve">Opt out of salary, advertising, and research data</t>
  </si>
  <si>
    <t xml:space="preserve">Settings &gt; Data privacy</t>
  </si>
  <si>
    <t xml:space="preserve">Facebook</t>
  </si>
  <si>
    <t xml:space="preserve">Search engine linking = No</t>
  </si>
  <si>
    <t xml:space="preserve">Settings &gt; Privacy</t>
  </si>
  <si>
    <t xml:space="preserve">Also run Privacy Checkup and 'Limit Past Posts'.</t>
  </si>
  <si>
    <t xml:space="preserve">X / Twitter</t>
  </si>
  <si>
    <t xml:space="preserve">Disable email + phone discoverability</t>
  </si>
  <si>
    <t xml:space="preserve">Settings &gt; Privacy &gt; Discoverability</t>
  </si>
  <si>
    <t xml:space="preserve">Instagram</t>
  </si>
  <si>
    <t xml:space="preserve">Private account; similar-account suggestions off</t>
  </si>
  <si>
    <t xml:space="preserve">Venmo</t>
  </si>
  <si>
    <t xml:space="preserve">Past AND future transactions = Private; hide friends list</t>
  </si>
  <si>
    <t xml:space="preserve">Commonly overlooked. Leaks your social graph and spending.</t>
  </si>
  <si>
    <t xml:space="preserve">Strava / fitness apps</t>
  </si>
  <si>
    <t xml:space="preserve">Privacy zones around home and work, or disable public activity</t>
  </si>
  <si>
    <t xml:space="preserve">App settings</t>
  </si>
  <si>
    <t xml:space="preserve">Home address is trivially reverse-engineered from run routes.</t>
  </si>
  <si>
    <t xml:space="preserve">Spotify / Goodreads / Letterboxd</t>
  </si>
  <si>
    <t xml:space="preserve">Set private or delete</t>
  </si>
  <si>
    <t xml:space="preserve">Public by default, often under real names.</t>
  </si>
  <si>
    <t xml:space="preserve">Google account</t>
  </si>
  <si>
    <t xml:space="preserve">Review third-party app permissions</t>
  </si>
  <si>
    <t xml:space="preserve">https://myaccount.google.com/permissions</t>
  </si>
  <si>
    <t xml:space="preserve">Revoke anything you don't recognize or use.</t>
  </si>
  <si>
    <t xml:space="preserve">Turn off Web &amp; App Activity / ad personalization</t>
  </si>
  <si>
    <t xml:space="preserve">https://myadcenter.google.com</t>
  </si>
  <si>
    <t xml:space="preserve">Amazon</t>
  </si>
  <si>
    <t xml:space="preserve">Hide wish lists; disable public profile</t>
  </si>
  <si>
    <t xml:space="preserve">Account &gt; Profile</t>
  </si>
  <si>
    <t xml:space="preserve">Wish lists are public by default and often show a shipping city.</t>
  </si>
  <si>
    <t xml:space="preserve">Old accounts - discovery</t>
  </si>
  <si>
    <t xml:space="preserve">Search Gmail: 'welcome to', 'verify your email', 'confirm your account', 'free trial'</t>
  </si>
  <si>
    <t xml:space="preserve">Gmail</t>
  </si>
  <si>
    <t xml:space="preserve">Run usernames through WhatsMyName</t>
  </si>
  <si>
    <t xml:space="preserve">https://whatsmyname.app</t>
  </si>
  <si>
    <t xml:space="preserve">Check password manager + browser saved logins</t>
  </si>
  <si>
    <t xml:space="preserve">Old accounts - deletion</t>
  </si>
  <si>
    <t xml:space="preserve">Look up deletion process per service</t>
  </si>
  <si>
    <t xml:space="preserve">https://justdelete.me</t>
  </si>
  <si>
    <t xml:space="preserve">Rates each service by difficulty.</t>
  </si>
  <si>
    <t xml:space="preserve">Breach check</t>
  </si>
  <si>
    <t xml:space="preserve">Run email through Have I Been Pwned</t>
  </si>
  <si>
    <t xml:space="preserve">Rotate every reused password found. Enable 2FA everywhere.</t>
  </si>
  <si>
    <t xml:space="preserve">Your details - keep this handy while filling out forms</t>
  </si>
  <si>
    <t xml:space="preserve">Most opt-out forms ask for the same fields. Fill these once. NOTE: this file is unencrypted - store it somewhere safe, or leave the sensitive rows blank and keep them in your password manager instead.</t>
  </si>
  <si>
    <t xml:space="preserve">Field</t>
  </si>
  <si>
    <t xml:space="preserve">Value</t>
  </si>
  <si>
    <t xml:space="preserve">Note</t>
  </si>
  <si>
    <t xml:space="preserve">Full legal name</t>
  </si>
  <si>
    <t xml:space="preserve">e.g. Ramu Reddy</t>
  </si>
  <si>
    <t xml:space="preserve">Name variants / maiden / nicknames</t>
  </si>
  <si>
    <t xml:space="preserve">Brokers index these separately - each one needs its own opt-out</t>
  </si>
  <si>
    <t xml:space="preserve">Middle name or initial</t>
  </si>
  <si>
    <t xml:space="preserve">Date of birth</t>
  </si>
  <si>
    <t xml:space="preserve">Often required to disambiguate. Fill in only if you're comfortable.</t>
  </si>
  <si>
    <t xml:space="preserve">Current address</t>
  </si>
  <si>
    <t xml:space="preserve">Prior address 1</t>
  </si>
  <si>
    <t xml:space="preserve">Go back 10 years - brokers list all of them</t>
  </si>
  <si>
    <t xml:space="preserve">Prior address 2</t>
  </si>
  <si>
    <t xml:space="preserve">Prior address 3</t>
  </si>
  <si>
    <t xml:space="preserve">Primary phone</t>
  </si>
  <si>
    <t xml:space="preserve">Do NOT give this to brokers - listed here only so you can search for it</t>
  </si>
  <si>
    <t xml:space="preserve">Google Voice / burner phone</t>
  </si>
  <si>
    <t xml:space="preserve">USE THIS on forms requiring phone verification</t>
  </si>
  <si>
    <t xml:space="preserve">Primary email</t>
  </si>
  <si>
    <t xml:space="preserve">papr.tpt@gmail.com</t>
  </si>
  <si>
    <t xml:space="preserve">Do NOT give this to brokers</t>
  </si>
  <si>
    <t xml:space="preserve">Throwaway opt-out email</t>
  </si>
  <si>
    <t xml:space="preserve">USE THIS on every form. Create before you start.</t>
  </si>
  <si>
    <t xml:space="preserve">State of residence</t>
  </si>
  <si>
    <t xml:space="preserve">Determines which privacy law you cite in requests</t>
  </si>
  <si>
    <t xml:space="preserve">Known relatives listed by brokers</t>
  </si>
  <si>
    <t xml:space="preserve">Brokers cross-link these. Note who shows up so you can spot duplicate profiles.</t>
  </si>
  <si>
    <t xml:space="preserve">Right-to-delete request template</t>
  </si>
  <si>
    <t xml:space="preserve">Subject: Consumer Request to Delete and Opt Out of Sale - [Your Full Name]</t>
  </si>
  <si>
    <t xml:space="preserve">To Whom It May Concern:</t>
  </si>
  <si>
    <t xml:space="preserve">I am a resident of [STATE]. Pursuant to [CCPA/CPRA or your state statute], I am exercising my rights to:</t>
  </si>
  <si>
    <t xml:space="preserve">  1. Delete all personal information you have collected about me;</t>
  </si>
  <si>
    <t xml:space="preserve">  2. Opt out of the sale and sharing of my personal information;</t>
  </si>
  <si>
    <t xml:space="preserve">  3. Limit the use and disclosure of my sensitive personal information;</t>
  </si>
  <si>
    <t xml:space="preserve">  4. Direct all service providers and third parties to whom you have sold or disclosed my information to do the same.</t>
  </si>
  <si>
    <t xml:space="preserve">Identifying information: [Full name, prior/variant names, current address, prior addresses, DOB, phone, email]</t>
  </si>
  <si>
    <t xml:space="preserve">Please confirm completion in writing and identify all categories of third parties to whom my information was sold or disclosed in the preceding 12 months.</t>
  </si>
  <si>
    <t xml:space="preserve">I expect a response within 45 days as required by law.</t>
  </si>
  <si>
    <t xml:space="preserve">[Name]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</si>
</sst>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2F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5"/>
    </row>
    <row r="4" customFormat="false" ht="15" hidden="false" customHeight="true" outlineLevel="0" collapsed="false">
      <c r="A4" s="6" t="s">
        <v>2</v>
      </c>
      <c r="B4" s="5"/>
    </row>
    <row r="5" customFormat="false" ht="15" hidden="false" customHeight="true" outlineLevel="0" collapsed="false">
      <c r="A5" s="7" t="s">
        <v>3</v>
      </c>
      <c r="B5" s="5" t="s">
        <v>4</v>
      </c>
    </row>
    <row r="6" customFormat="false" ht="15" hidden="false" customHeight="true" outlineLevel="0" collapsed="false">
      <c r="A6" s="7" t="s">
        <v>5</v>
      </c>
      <c r="B6" s="5" t="s">
        <v>6</v>
      </c>
    </row>
    <row r="7" customFormat="false" ht="15" hidden="false" customHeight="true" outlineLevel="0" collapsed="false">
      <c r="A7" s="7" t="s">
        <v>7</v>
      </c>
      <c r="B7" s="5" t="s">
        <v>8</v>
      </c>
    </row>
    <row r="8" customFormat="false" ht="23.25" hidden="false" customHeight="true" outlineLevel="0" collapsed="false">
      <c r="A8" s="7" t="s">
        <v>9</v>
      </c>
      <c r="B8" s="5" t="s">
        <v>10</v>
      </c>
    </row>
    <row r="9" customFormat="false" ht="15" hidden="false" customHeight="true" outlineLevel="0" collapsed="false">
      <c r="A9" s="7" t="s">
        <v>11</v>
      </c>
      <c r="B9" s="5" t="s">
        <v>12</v>
      </c>
    </row>
    <row r="10" customFormat="false" ht="15" hidden="false" customHeight="true" outlineLevel="0" collapsed="false">
      <c r="A10" s="7" t="s">
        <v>13</v>
      </c>
      <c r="B10" s="5" t="s">
        <v>14</v>
      </c>
    </row>
    <row r="11" customFormat="false" ht="15" hidden="false" customHeight="true" outlineLevel="0" collapsed="false">
      <c r="A11" s="4"/>
      <c r="B11" s="5"/>
    </row>
    <row r="12" customFormat="false" ht="15" hidden="false" customHeight="true" outlineLevel="0" collapsed="false">
      <c r="A12" s="6" t="s">
        <v>15</v>
      </c>
      <c r="B12" s="5"/>
    </row>
    <row r="13" customFormat="false" ht="15" hidden="false" customHeight="true" outlineLevel="0" collapsed="false">
      <c r="A13" s="7" t="s">
        <v>16</v>
      </c>
      <c r="B13" s="5" t="s">
        <v>17</v>
      </c>
    </row>
    <row r="14" customFormat="false" ht="15" hidden="false" customHeight="true" outlineLevel="0" collapsed="false">
      <c r="A14" s="7" t="s">
        <v>18</v>
      </c>
      <c r="B14" s="5" t="s">
        <v>19</v>
      </c>
    </row>
    <row r="15" customFormat="false" ht="15" hidden="false" customHeight="true" outlineLevel="0" collapsed="false">
      <c r="A15" s="7" t="s">
        <v>20</v>
      </c>
      <c r="B15" s="5" t="s">
        <v>21</v>
      </c>
    </row>
    <row r="16" customFormat="false" ht="15" hidden="false" customHeight="true" outlineLevel="0" collapsed="false">
      <c r="A16" s="7" t="s">
        <v>22</v>
      </c>
      <c r="B16" s="5" t="s">
        <v>23</v>
      </c>
    </row>
    <row r="17" customFormat="false" ht="15" hidden="false" customHeight="true" outlineLevel="0" collapsed="false">
      <c r="A17" s="7" t="s">
        <v>24</v>
      </c>
      <c r="B17" s="5" t="s">
        <v>25</v>
      </c>
    </row>
    <row r="18" customFormat="false" ht="15" hidden="false" customHeight="true" outlineLevel="0" collapsed="false">
      <c r="A18" s="7" t="s">
        <v>26</v>
      </c>
      <c r="B18" s="5" t="s">
        <v>27</v>
      </c>
    </row>
    <row r="19" customFormat="false" ht="15" hidden="false" customHeight="true" outlineLevel="0" collapsed="false">
      <c r="A19" s="4"/>
      <c r="B19" s="5"/>
    </row>
    <row r="20" customFormat="false" ht="15" hidden="false" customHeight="true" outlineLevel="0" collapsed="false">
      <c r="A20" s="6" t="s">
        <v>28</v>
      </c>
      <c r="B20" s="5"/>
    </row>
    <row r="21" customFormat="false" ht="15" hidden="false" customHeight="true" outlineLevel="0" collapsed="false">
      <c r="A21" s="7" t="s">
        <v>29</v>
      </c>
      <c r="B21" s="5" t="s">
        <v>30</v>
      </c>
    </row>
    <row r="22" customFormat="false" ht="15" hidden="false" customHeight="true" outlineLevel="0" collapsed="false">
      <c r="A22" s="7" t="s">
        <v>29</v>
      </c>
      <c r="B22" s="5" t="s">
        <v>31</v>
      </c>
    </row>
    <row r="23" customFormat="false" ht="23.25" hidden="false" customHeight="true" outlineLevel="0" collapsed="false">
      <c r="A23" s="7" t="s">
        <v>29</v>
      </c>
      <c r="B23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33</v>
      </c>
    </row>
    <row r="2" customFormat="false" ht="15" hidden="false" customHeight="true" outlineLevel="0" collapsed="false">
      <c r="A2" s="3" t="s">
        <v>34</v>
      </c>
    </row>
    <row r="4" customFormat="false" ht="15" hidden="false" customHeight="true" outlineLevel="0" collapsed="false">
      <c r="A4" s="8" t="s">
        <v>35</v>
      </c>
      <c r="B4" s="8" t="s">
        <v>36</v>
      </c>
      <c r="C4" s="8" t="s">
        <v>37</v>
      </c>
      <c r="D4" s="8" t="s">
        <v>38</v>
      </c>
      <c r="E4" s="8" t="s">
        <v>16</v>
      </c>
      <c r="F4" s="8" t="s">
        <v>39</v>
      </c>
    </row>
    <row r="5" customFormat="false" ht="15" hidden="false" customHeight="true" outlineLevel="0" collapsed="false">
      <c r="A5" s="9" t="s">
        <v>40</v>
      </c>
      <c r="B5" s="9" t="n">
        <f aca="false">COUNTIF(Foundations!$D$2:$D$200,"&lt;&gt;")</f>
        <v>23</v>
      </c>
      <c r="C5" s="9" t="n">
        <f aca="false">COUNTIF(Foundations!$D$2:$D$200,"Removed - verified")</f>
        <v>0</v>
      </c>
      <c r="D5" s="9" t="n">
        <f aca="false">COUNTIF(Foundations!$D$2:$D$200,"Submitted")+COUNTIF(Foundations!$D$2:$D$200,"Confirmation pending")</f>
        <v>0</v>
      </c>
      <c r="E5" s="9" t="n">
        <f aca="false">COUNTIF(Foundations!$D$2:$D$200,"Not started")</f>
        <v>23</v>
      </c>
      <c r="F5" s="10" t="n">
        <f aca="false">IFERROR(C5/B5,0)</f>
        <v>0</v>
      </c>
    </row>
    <row r="6" customFormat="false" ht="15" hidden="false" customHeight="true" outlineLevel="0" collapsed="false">
      <c r="A6" s="9" t="s">
        <v>41</v>
      </c>
      <c r="B6" s="9" t="n">
        <f aca="false">COUNTIF('People-Search Sites'!$F$2:$F$200,"&lt;&gt;")</f>
        <v>31</v>
      </c>
      <c r="C6" s="9" t="n">
        <f aca="false">COUNTIF('People-Search Sites'!$F$2:$F$200,"Removed - verified")</f>
        <v>0</v>
      </c>
      <c r="D6" s="9" t="n">
        <f aca="false">COUNTIF('People-Search Sites'!$F$2:$F$200,"Submitted")+COUNTIF('People-Search Sites'!$F$2:$F$200,"Confirmation pending")</f>
        <v>0</v>
      </c>
      <c r="E6" s="9" t="n">
        <f aca="false">COUNTIF('People-Search Sites'!$F$2:$F$200,"Not started")</f>
        <v>31</v>
      </c>
      <c r="F6" s="10" t="n">
        <f aca="false">IFERROR(C6/B6,0)</f>
        <v>0</v>
      </c>
    </row>
    <row r="7" customFormat="false" ht="15" hidden="false" customHeight="true" outlineLevel="0" collapsed="false">
      <c r="A7" s="9" t="s">
        <v>42</v>
      </c>
      <c r="B7" s="9" t="n">
        <f aca="false">COUNTIF(Aggregators!$D$2:$D$200,"&lt;&gt;")</f>
        <v>10</v>
      </c>
      <c r="C7" s="9" t="n">
        <f aca="false">COUNTIF(Aggregators!$D$2:$D$200,"Removed - verified")</f>
        <v>0</v>
      </c>
      <c r="D7" s="9" t="n">
        <f aca="false">COUNTIF(Aggregators!$D$2:$D$200,"Submitted")+COUNTIF(Aggregators!$D$2:$D$200,"Confirmation pending")</f>
        <v>0</v>
      </c>
      <c r="E7" s="9" t="n">
        <f aca="false">COUNTIF(Aggregators!$D$2:$D$200,"Not started")</f>
        <v>10</v>
      </c>
      <c r="F7" s="10" t="n">
        <f aca="false">IFERROR(C7/B7,0)</f>
        <v>0</v>
      </c>
    </row>
    <row r="8" customFormat="false" ht="15" hidden="false" customHeight="true" outlineLevel="0" collapsed="false">
      <c r="A8" s="9" t="s">
        <v>43</v>
      </c>
      <c r="B8" s="9" t="n">
        <f aca="false">COUNTIF('Accounts &amp; Social'!$D$2:$D$200,"&lt;&gt;")</f>
        <v>19</v>
      </c>
      <c r="C8" s="9" t="n">
        <f aca="false">COUNTIF('Accounts &amp; Social'!$D$2:$D$200,"Removed - verified")</f>
        <v>0</v>
      </c>
      <c r="D8" s="9" t="n">
        <f aca="false">COUNTIF('Accounts &amp; Social'!$D$2:$D$200,"Submitted")+COUNTIF('Accounts &amp; Social'!$D$2:$D$200,"Confirmation pending")</f>
        <v>0</v>
      </c>
      <c r="E8" s="9" t="n">
        <f aca="false">COUNTIF('Accounts &amp; Social'!$D$2:$D$200,"Not started")</f>
        <v>19</v>
      </c>
      <c r="F8" s="10" t="n">
        <f aca="false">IFERROR(C8/B8,0)</f>
        <v>0</v>
      </c>
    </row>
    <row r="9" customFormat="false" ht="15" hidden="false" customHeight="true" outlineLevel="0" collapsed="false">
      <c r="A9" s="11" t="s">
        <v>44</v>
      </c>
      <c r="B9" s="11" t="n">
        <f aca="false">SUM(B5:B8)</f>
        <v>83</v>
      </c>
      <c r="C9" s="11" t="n">
        <f aca="false">SUM(C5:C8)</f>
        <v>0</v>
      </c>
      <c r="D9" s="11" t="n">
        <f aca="false">SUM(D5:D8)</f>
        <v>0</v>
      </c>
      <c r="E9" s="11" t="n">
        <f aca="false">SUM(E5:E8)</f>
        <v>83</v>
      </c>
      <c r="F9" s="12" t="n">
        <f aca="false">IFERROR(C9/B9,0)</f>
        <v>0</v>
      </c>
    </row>
    <row r="12" customFormat="false" ht="15" hidden="false" customHeight="true" outlineLevel="0" collapsed="false">
      <c r="A12" s="4" t="s">
        <v>45</v>
      </c>
      <c r="B12" s="7" t="n">
        <f aca="false">COUNTIF('People-Search Sites'!$F$2:$F$200,"Reappeared")+COUNTIF(Aggregators!$D$2:$D$200,"Reappeared")</f>
        <v>0</v>
      </c>
    </row>
    <row r="13" customFormat="false" ht="15" hidden="false" customHeight="true" outlineLevel="0" collapsed="false">
      <c r="A13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52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55"/>
  </cols>
  <sheetData>
    <row r="1" customFormat="false" ht="30" hidden="false" customHeight="true" outlineLevel="0" collapsed="false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</row>
    <row r="2" customFormat="false" ht="15" hidden="false" customHeight="true" outlineLevel="0" collapsed="false">
      <c r="A2" s="13" t="n">
        <v>1</v>
      </c>
      <c r="B2" s="14" t="s">
        <v>54</v>
      </c>
      <c r="C2" s="14" t="s">
        <v>55</v>
      </c>
      <c r="D2" s="14" t="s">
        <v>16</v>
      </c>
      <c r="E2" s="15"/>
      <c r="F2" s="14"/>
      <c r="G2" s="14" t="s">
        <v>56</v>
      </c>
    </row>
    <row r="3" customFormat="false" ht="15" hidden="false" customHeight="true" outlineLevel="0" collapsed="false">
      <c r="A3" s="13" t="n">
        <v>1</v>
      </c>
      <c r="B3" s="14" t="s">
        <v>57</v>
      </c>
      <c r="C3" s="14" t="s">
        <v>58</v>
      </c>
      <c r="D3" s="14" t="s">
        <v>16</v>
      </c>
      <c r="E3" s="15"/>
      <c r="F3" s="14"/>
      <c r="G3" s="14" t="s">
        <v>59</v>
      </c>
    </row>
    <row r="4" customFormat="false" ht="23.25" hidden="false" customHeight="true" outlineLevel="0" collapsed="false">
      <c r="A4" s="13" t="n">
        <v>1</v>
      </c>
      <c r="B4" s="14" t="s">
        <v>60</v>
      </c>
      <c r="C4" s="14" t="s">
        <v>61</v>
      </c>
      <c r="D4" s="14" t="s">
        <v>16</v>
      </c>
      <c r="E4" s="15"/>
      <c r="F4" s="14"/>
      <c r="G4" s="14" t="s">
        <v>62</v>
      </c>
    </row>
    <row r="5" customFormat="false" ht="15" hidden="false" customHeight="true" outlineLevel="0" collapsed="false">
      <c r="A5" s="13" t="n">
        <v>1</v>
      </c>
      <c r="B5" s="14" t="s">
        <v>63</v>
      </c>
      <c r="C5" s="14" t="s">
        <v>64</v>
      </c>
      <c r="D5" s="14" t="s">
        <v>16</v>
      </c>
      <c r="E5" s="15"/>
      <c r="F5" s="14"/>
      <c r="G5" s="14" t="s">
        <v>62</v>
      </c>
    </row>
    <row r="6" customFormat="false" ht="15" hidden="false" customHeight="true" outlineLevel="0" collapsed="false">
      <c r="A6" s="13" t="n">
        <v>1</v>
      </c>
      <c r="B6" s="14" t="s">
        <v>65</v>
      </c>
      <c r="C6" s="14" t="s">
        <v>66</v>
      </c>
      <c r="D6" s="14" t="s">
        <v>16</v>
      </c>
      <c r="E6" s="15"/>
      <c r="F6" s="14"/>
      <c r="G6" s="14" t="s">
        <v>62</v>
      </c>
    </row>
    <row r="7" customFormat="false" ht="15" hidden="false" customHeight="true" outlineLevel="0" collapsed="false">
      <c r="A7" s="13" t="n">
        <v>1</v>
      </c>
      <c r="B7" s="14" t="s">
        <v>67</v>
      </c>
      <c r="C7" s="14" t="s">
        <v>68</v>
      </c>
      <c r="D7" s="14" t="s">
        <v>16</v>
      </c>
      <c r="E7" s="15"/>
      <c r="F7" s="14"/>
      <c r="G7" s="14" t="s">
        <v>69</v>
      </c>
    </row>
    <row r="8" customFormat="false" ht="15" hidden="false" customHeight="true" outlineLevel="0" collapsed="false">
      <c r="A8" s="13" t="n">
        <v>1</v>
      </c>
      <c r="B8" s="14" t="s">
        <v>70</v>
      </c>
      <c r="C8" s="14" t="s">
        <v>71</v>
      </c>
      <c r="D8" s="14" t="s">
        <v>16</v>
      </c>
      <c r="E8" s="15"/>
      <c r="F8" s="14"/>
      <c r="G8" s="14" t="s">
        <v>72</v>
      </c>
    </row>
    <row r="9" customFormat="false" ht="15" hidden="false" customHeight="true" outlineLevel="0" collapsed="false">
      <c r="A9" s="13" t="n">
        <v>1</v>
      </c>
      <c r="B9" s="14" t="s">
        <v>73</v>
      </c>
      <c r="C9" s="14" t="s">
        <v>74</v>
      </c>
      <c r="D9" s="14" t="s">
        <v>16</v>
      </c>
      <c r="E9" s="15"/>
      <c r="F9" s="14"/>
      <c r="G9" s="14" t="s">
        <v>75</v>
      </c>
    </row>
    <row r="10" customFormat="false" ht="23.25" hidden="false" customHeight="true" outlineLevel="0" collapsed="false">
      <c r="A10" s="13" t="n">
        <v>1</v>
      </c>
      <c r="B10" s="14" t="s">
        <v>76</v>
      </c>
      <c r="C10" s="14" t="s">
        <v>77</v>
      </c>
      <c r="D10" s="14" t="s">
        <v>16</v>
      </c>
      <c r="E10" s="15"/>
      <c r="F10" s="14"/>
      <c r="G10" s="14" t="s">
        <v>78</v>
      </c>
    </row>
    <row r="11" customFormat="false" ht="15" hidden="false" customHeight="true" outlineLevel="0" collapsed="false">
      <c r="A11" s="13" t="n">
        <v>1</v>
      </c>
      <c r="B11" s="14" t="s">
        <v>79</v>
      </c>
      <c r="C11" s="14" t="s">
        <v>80</v>
      </c>
      <c r="D11" s="14" t="s">
        <v>16</v>
      </c>
      <c r="E11" s="15"/>
      <c r="F11" s="14"/>
      <c r="G11" s="14" t="s">
        <v>81</v>
      </c>
    </row>
    <row r="12" customFormat="false" ht="23.25" hidden="false" customHeight="true" outlineLevel="0" collapsed="false">
      <c r="A12" s="13" t="n">
        <v>1</v>
      </c>
      <c r="B12" s="14" t="s">
        <v>82</v>
      </c>
      <c r="C12" s="14" t="s">
        <v>83</v>
      </c>
      <c r="D12" s="14" t="s">
        <v>16</v>
      </c>
      <c r="E12" s="15"/>
      <c r="F12" s="14"/>
      <c r="G12" s="14" t="s">
        <v>84</v>
      </c>
    </row>
    <row r="13" customFormat="false" ht="23.25" hidden="false" customHeight="true" outlineLevel="0" collapsed="false">
      <c r="A13" s="16" t="n">
        <v>2</v>
      </c>
      <c r="B13" s="14" t="s">
        <v>85</v>
      </c>
      <c r="C13" s="14" t="s">
        <v>86</v>
      </c>
      <c r="D13" s="14" t="s">
        <v>16</v>
      </c>
      <c r="E13" s="15"/>
      <c r="F13" s="14"/>
      <c r="G13" s="14" t="s">
        <v>87</v>
      </c>
    </row>
    <row r="14" customFormat="false" ht="15" hidden="false" customHeight="true" outlineLevel="0" collapsed="false">
      <c r="A14" s="16" t="n">
        <v>2</v>
      </c>
      <c r="B14" s="14" t="s">
        <v>88</v>
      </c>
      <c r="C14" s="14" t="s">
        <v>89</v>
      </c>
      <c r="D14" s="14" t="s">
        <v>16</v>
      </c>
      <c r="E14" s="15"/>
      <c r="F14" s="14"/>
      <c r="G14" s="14" t="s">
        <v>90</v>
      </c>
    </row>
    <row r="15" customFormat="false" ht="15" hidden="false" customHeight="true" outlineLevel="0" collapsed="false">
      <c r="A15" s="16" t="n">
        <v>2</v>
      </c>
      <c r="B15" s="14" t="s">
        <v>91</v>
      </c>
      <c r="C15" s="14" t="s">
        <v>92</v>
      </c>
      <c r="D15" s="14" t="s">
        <v>16</v>
      </c>
      <c r="E15" s="15"/>
      <c r="F15" s="14"/>
      <c r="G15" s="14"/>
    </row>
    <row r="16" customFormat="false" ht="15" hidden="false" customHeight="true" outlineLevel="0" collapsed="false">
      <c r="A16" s="16" t="n">
        <v>2</v>
      </c>
      <c r="B16" s="14" t="s">
        <v>93</v>
      </c>
      <c r="C16" s="14" t="s">
        <v>94</v>
      </c>
      <c r="D16" s="14" t="s">
        <v>16</v>
      </c>
      <c r="E16" s="15"/>
      <c r="F16" s="14"/>
      <c r="G16" s="14" t="s">
        <v>95</v>
      </c>
    </row>
    <row r="17" customFormat="false" ht="15" hidden="false" customHeight="true" outlineLevel="0" collapsed="false">
      <c r="A17" s="16" t="n">
        <v>2</v>
      </c>
      <c r="B17" s="14" t="s">
        <v>96</v>
      </c>
      <c r="C17" s="14" t="s">
        <v>97</v>
      </c>
      <c r="D17" s="14" t="s">
        <v>16</v>
      </c>
      <c r="E17" s="15"/>
      <c r="F17" s="14"/>
      <c r="G17" s="14" t="s">
        <v>98</v>
      </c>
    </row>
    <row r="18" customFormat="false" ht="15" hidden="false" customHeight="true" outlineLevel="0" collapsed="false">
      <c r="A18" s="16" t="n">
        <v>2</v>
      </c>
      <c r="B18" s="14" t="s">
        <v>99</v>
      </c>
      <c r="C18" s="14" t="s">
        <v>100</v>
      </c>
      <c r="D18" s="14" t="s">
        <v>16</v>
      </c>
      <c r="E18" s="15"/>
      <c r="F18" s="14"/>
      <c r="G18" s="14" t="s">
        <v>101</v>
      </c>
    </row>
    <row r="19" customFormat="false" ht="15" hidden="false" customHeight="true" outlineLevel="0" collapsed="false">
      <c r="A19" s="16" t="n">
        <v>2</v>
      </c>
      <c r="B19" s="14" t="s">
        <v>102</v>
      </c>
      <c r="C19" s="14" t="s">
        <v>103</v>
      </c>
      <c r="D19" s="14" t="s">
        <v>16</v>
      </c>
      <c r="E19" s="15"/>
      <c r="F19" s="14"/>
      <c r="G19" s="14"/>
    </row>
    <row r="20" customFormat="false" ht="15" hidden="false" customHeight="true" outlineLevel="0" collapsed="false">
      <c r="A20" s="16" t="n">
        <v>2</v>
      </c>
      <c r="B20" s="14" t="s">
        <v>104</v>
      </c>
      <c r="C20" s="14" t="s">
        <v>105</v>
      </c>
      <c r="D20" s="14" t="s">
        <v>16</v>
      </c>
      <c r="E20" s="15"/>
      <c r="F20" s="14"/>
      <c r="G20" s="14" t="s">
        <v>106</v>
      </c>
    </row>
    <row r="21" customFormat="false" ht="23.25" hidden="false" customHeight="true" outlineLevel="0" collapsed="false">
      <c r="A21" s="16" t="n">
        <v>2</v>
      </c>
      <c r="B21" s="14" t="s">
        <v>107</v>
      </c>
      <c r="C21" s="14" t="s">
        <v>108</v>
      </c>
      <c r="D21" s="14" t="s">
        <v>16</v>
      </c>
      <c r="E21" s="15"/>
      <c r="F21" s="14"/>
      <c r="G21" s="14" t="s">
        <v>109</v>
      </c>
    </row>
    <row r="22" customFormat="false" ht="15" hidden="false" customHeight="true" outlineLevel="0" collapsed="false">
      <c r="A22" s="17" t="n">
        <v>3</v>
      </c>
      <c r="B22" s="14" t="s">
        <v>110</v>
      </c>
      <c r="C22" s="14" t="s">
        <v>111</v>
      </c>
      <c r="D22" s="14" t="s">
        <v>16</v>
      </c>
      <c r="E22" s="15"/>
      <c r="F22" s="14"/>
      <c r="G22" s="14" t="s">
        <v>112</v>
      </c>
    </row>
    <row r="23" customFormat="false" ht="15" hidden="false" customHeight="true" outlineLevel="0" collapsed="false">
      <c r="A23" s="17" t="n">
        <v>3</v>
      </c>
      <c r="B23" s="14" t="s">
        <v>113</v>
      </c>
      <c r="C23" s="14" t="s">
        <v>114</v>
      </c>
      <c r="D23" s="14" t="s">
        <v>16</v>
      </c>
      <c r="E23" s="15"/>
      <c r="F23" s="14"/>
      <c r="G23" s="14" t="s">
        <v>115</v>
      </c>
    </row>
    <row r="24" customFormat="false" ht="23.25" hidden="false" customHeight="true" outlineLevel="0" collapsed="false">
      <c r="A24" s="17" t="n">
        <v>3</v>
      </c>
      <c r="B24" s="14" t="s">
        <v>116</v>
      </c>
      <c r="C24" s="14" t="s">
        <v>117</v>
      </c>
      <c r="D24" s="14" t="s">
        <v>16</v>
      </c>
      <c r="E24" s="15"/>
      <c r="F24" s="14"/>
      <c r="G24" s="14" t="s">
        <v>118</v>
      </c>
    </row>
  </sheetData>
  <dataValidations count="2">
    <dataValidation allowBlank="true" errorStyle="stop" operator="between" showDropDown="false" showErrorMessage="false" showInputMessage="false" sqref="D2:D24" type="list">
      <formula1>"Not started,Submitted,Confirmation pending,Removed - verified,Reappeared,Blocked / N/A"</formula1>
      <formula2>0</formula2>
    </dataValidation>
    <dataValidation allowBlank="true" errorStyle="stop" operator="between" showDropDown="false" showErrorMessage="false" showInputMessage="false" sqref="F2:F24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40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15"/>
    <col collapsed="false" customWidth="true" hidden="false" outlineLevel="0" max="8" min="8" style="1" width="17"/>
    <col collapsed="false" customWidth="true" hidden="false" outlineLevel="0" max="9" min="9" style="1" width="14"/>
    <col collapsed="false" customWidth="true" hidden="false" outlineLevel="0" max="10" min="10" style="1" width="34"/>
  </cols>
  <sheetData>
    <row r="1" customFormat="false" ht="30" hidden="false" customHeight="true" outlineLevel="0" collapsed="false">
      <c r="A1" s="8" t="s">
        <v>119</v>
      </c>
      <c r="B1" s="8" t="s">
        <v>120</v>
      </c>
      <c r="C1" s="8" t="s">
        <v>121</v>
      </c>
      <c r="D1" s="8" t="s">
        <v>122</v>
      </c>
      <c r="E1" s="8" t="s">
        <v>123</v>
      </c>
      <c r="F1" s="8" t="s">
        <v>50</v>
      </c>
      <c r="G1" s="8" t="s">
        <v>124</v>
      </c>
      <c r="H1" s="8" t="s">
        <v>125</v>
      </c>
      <c r="I1" s="8" t="s">
        <v>126</v>
      </c>
      <c r="J1" s="8" t="s">
        <v>53</v>
      </c>
    </row>
    <row r="2" customFormat="false" ht="23.25" hidden="false" customHeight="true" outlineLevel="0" collapsed="false">
      <c r="A2" s="13" t="n">
        <v>1</v>
      </c>
      <c r="B2" s="14" t="s">
        <v>127</v>
      </c>
      <c r="C2" s="14" t="s">
        <v>128</v>
      </c>
      <c r="D2" s="14" t="s">
        <v>129</v>
      </c>
      <c r="E2" s="14"/>
      <c r="F2" s="14" t="s">
        <v>16</v>
      </c>
      <c r="G2" s="15"/>
      <c r="H2" s="15"/>
      <c r="I2" s="15" t="str">
        <f aca="false">IF(H2="","",H2+90)</f>
        <v/>
      </c>
      <c r="J2" s="14"/>
    </row>
    <row r="3" customFormat="false" ht="15" hidden="false" customHeight="true" outlineLevel="0" collapsed="false">
      <c r="A3" s="13" t="n">
        <v>1</v>
      </c>
      <c r="B3" s="14" t="s">
        <v>130</v>
      </c>
      <c r="C3" s="14" t="s">
        <v>131</v>
      </c>
      <c r="D3" s="14" t="s">
        <v>132</v>
      </c>
      <c r="E3" s="14"/>
      <c r="F3" s="14" t="s">
        <v>16</v>
      </c>
      <c r="G3" s="15"/>
      <c r="H3" s="15"/>
      <c r="I3" s="15" t="str">
        <f aca="false">IF(H3="","",H3+90)</f>
        <v/>
      </c>
      <c r="J3" s="14"/>
    </row>
    <row r="4" customFormat="false" ht="15" hidden="false" customHeight="true" outlineLevel="0" collapsed="false">
      <c r="A4" s="13" t="n">
        <v>1</v>
      </c>
      <c r="B4" s="14" t="s">
        <v>133</v>
      </c>
      <c r="C4" s="14" t="s">
        <v>134</v>
      </c>
      <c r="D4" s="14" t="s">
        <v>135</v>
      </c>
      <c r="E4" s="14"/>
      <c r="F4" s="14" t="s">
        <v>16</v>
      </c>
      <c r="G4" s="15"/>
      <c r="H4" s="15"/>
      <c r="I4" s="15" t="str">
        <f aca="false">IF(H4="","",H4+90)</f>
        <v/>
      </c>
      <c r="J4" s="14"/>
    </row>
    <row r="5" customFormat="false" ht="15" hidden="false" customHeight="true" outlineLevel="0" collapsed="false">
      <c r="A5" s="13" t="n">
        <v>1</v>
      </c>
      <c r="B5" s="14" t="s">
        <v>136</v>
      </c>
      <c r="C5" s="14" t="s">
        <v>137</v>
      </c>
      <c r="D5" s="14" t="s">
        <v>138</v>
      </c>
      <c r="E5" s="14"/>
      <c r="F5" s="14" t="s">
        <v>16</v>
      </c>
      <c r="G5" s="15"/>
      <c r="H5" s="15"/>
      <c r="I5" s="15" t="str">
        <f aca="false">IF(H5="","",H5+90)</f>
        <v/>
      </c>
      <c r="J5" s="14"/>
    </row>
    <row r="6" customFormat="false" ht="15" hidden="false" customHeight="true" outlineLevel="0" collapsed="false">
      <c r="A6" s="13" t="n">
        <v>1</v>
      </c>
      <c r="B6" s="14" t="s">
        <v>139</v>
      </c>
      <c r="C6" s="14" t="s">
        <v>140</v>
      </c>
      <c r="D6" s="14" t="s">
        <v>141</v>
      </c>
      <c r="E6" s="14"/>
      <c r="F6" s="14" t="s">
        <v>16</v>
      </c>
      <c r="G6" s="15"/>
      <c r="H6" s="15"/>
      <c r="I6" s="15" t="str">
        <f aca="false">IF(H6="","",H6+90)</f>
        <v/>
      </c>
      <c r="J6" s="14"/>
    </row>
    <row r="7" customFormat="false" ht="15" hidden="false" customHeight="true" outlineLevel="0" collapsed="false">
      <c r="A7" s="13" t="n">
        <v>1</v>
      </c>
      <c r="B7" s="14" t="s">
        <v>142</v>
      </c>
      <c r="C7" s="14" t="s">
        <v>143</v>
      </c>
      <c r="D7" s="14" t="s">
        <v>144</v>
      </c>
      <c r="E7" s="14"/>
      <c r="F7" s="14" t="s">
        <v>16</v>
      </c>
      <c r="G7" s="15"/>
      <c r="H7" s="15"/>
      <c r="I7" s="15" t="str">
        <f aca="false">IF(H7="","",H7+90)</f>
        <v/>
      </c>
      <c r="J7" s="14"/>
    </row>
    <row r="8" customFormat="false" ht="15" hidden="false" customHeight="true" outlineLevel="0" collapsed="false">
      <c r="A8" s="13" t="n">
        <v>1</v>
      </c>
      <c r="B8" s="14" t="s">
        <v>145</v>
      </c>
      <c r="C8" s="14" t="s">
        <v>146</v>
      </c>
      <c r="D8" s="14" t="s">
        <v>144</v>
      </c>
      <c r="E8" s="14"/>
      <c r="F8" s="14" t="s">
        <v>16</v>
      </c>
      <c r="G8" s="15"/>
      <c r="H8" s="15"/>
      <c r="I8" s="15" t="str">
        <f aca="false">IF(H8="","",H8+90)</f>
        <v/>
      </c>
      <c r="J8" s="14"/>
    </row>
    <row r="9" customFormat="false" ht="15" hidden="false" customHeight="true" outlineLevel="0" collapsed="false">
      <c r="A9" s="13" t="n">
        <v>1</v>
      </c>
      <c r="B9" s="14" t="s">
        <v>147</v>
      </c>
      <c r="C9" s="14" t="s">
        <v>148</v>
      </c>
      <c r="D9" s="14" t="s">
        <v>149</v>
      </c>
      <c r="E9" s="14"/>
      <c r="F9" s="14" t="s">
        <v>16</v>
      </c>
      <c r="G9" s="15"/>
      <c r="H9" s="15"/>
      <c r="I9" s="15" t="str">
        <f aca="false">IF(H9="","",H9+90)</f>
        <v/>
      </c>
      <c r="J9" s="14"/>
    </row>
    <row r="10" customFormat="false" ht="15" hidden="false" customHeight="true" outlineLevel="0" collapsed="false">
      <c r="A10" s="13" t="n">
        <v>1</v>
      </c>
      <c r="B10" s="14" t="s">
        <v>150</v>
      </c>
      <c r="C10" s="14" t="s">
        <v>151</v>
      </c>
      <c r="D10" s="14" t="s">
        <v>152</v>
      </c>
      <c r="E10" s="14"/>
      <c r="F10" s="14" t="s">
        <v>16</v>
      </c>
      <c r="G10" s="15"/>
      <c r="H10" s="15"/>
      <c r="I10" s="15" t="str">
        <f aca="false">IF(H10="","",H10+90)</f>
        <v/>
      </c>
      <c r="J10" s="14"/>
    </row>
    <row r="11" customFormat="false" ht="15" hidden="false" customHeight="true" outlineLevel="0" collapsed="false">
      <c r="A11" s="13" t="n">
        <v>1</v>
      </c>
      <c r="B11" s="14" t="s">
        <v>153</v>
      </c>
      <c r="C11" s="14" t="s">
        <v>154</v>
      </c>
      <c r="D11" s="14" t="s">
        <v>144</v>
      </c>
      <c r="E11" s="14"/>
      <c r="F11" s="14" t="s">
        <v>16</v>
      </c>
      <c r="G11" s="15"/>
      <c r="H11" s="15"/>
      <c r="I11" s="15" t="str">
        <f aca="false">IF(H11="","",H11+90)</f>
        <v/>
      </c>
      <c r="J11" s="14"/>
    </row>
    <row r="12" customFormat="false" ht="15" hidden="false" customHeight="true" outlineLevel="0" collapsed="false">
      <c r="A12" s="13" t="n">
        <v>1</v>
      </c>
      <c r="B12" s="14" t="s">
        <v>155</v>
      </c>
      <c r="C12" s="14" t="s">
        <v>156</v>
      </c>
      <c r="D12" s="14" t="s">
        <v>157</v>
      </c>
      <c r="E12" s="14"/>
      <c r="F12" s="14" t="s">
        <v>16</v>
      </c>
      <c r="G12" s="15"/>
      <c r="H12" s="15"/>
      <c r="I12" s="15" t="str">
        <f aca="false">IF(H12="","",H12+90)</f>
        <v/>
      </c>
      <c r="J12" s="14"/>
    </row>
    <row r="13" customFormat="false" ht="15" hidden="false" customHeight="true" outlineLevel="0" collapsed="false">
      <c r="A13" s="13" t="n">
        <v>1</v>
      </c>
      <c r="B13" s="14" t="s">
        <v>158</v>
      </c>
      <c r="C13" s="14" t="s">
        <v>159</v>
      </c>
      <c r="D13" s="14" t="s">
        <v>160</v>
      </c>
      <c r="E13" s="14"/>
      <c r="F13" s="14" t="s">
        <v>16</v>
      </c>
      <c r="G13" s="15"/>
      <c r="H13" s="15"/>
      <c r="I13" s="15" t="str">
        <f aca="false">IF(H13="","",H13+90)</f>
        <v/>
      </c>
      <c r="J13" s="14"/>
    </row>
    <row r="14" customFormat="false" ht="15" hidden="false" customHeight="true" outlineLevel="0" collapsed="false">
      <c r="A14" s="16" t="n">
        <v>2</v>
      </c>
      <c r="B14" s="14" t="s">
        <v>161</v>
      </c>
      <c r="C14" s="14" t="s">
        <v>162</v>
      </c>
      <c r="D14" s="14" t="s">
        <v>152</v>
      </c>
      <c r="E14" s="14"/>
      <c r="F14" s="14" t="s">
        <v>16</v>
      </c>
      <c r="G14" s="15"/>
      <c r="H14" s="15"/>
      <c r="I14" s="15" t="str">
        <f aca="false">IF(H14="","",H14+90)</f>
        <v/>
      </c>
      <c r="J14" s="14"/>
    </row>
    <row r="15" customFormat="false" ht="15" hidden="false" customHeight="true" outlineLevel="0" collapsed="false">
      <c r="A15" s="16" t="n">
        <v>2</v>
      </c>
      <c r="B15" s="14" t="s">
        <v>163</v>
      </c>
      <c r="C15" s="14" t="s">
        <v>164</v>
      </c>
      <c r="D15" s="14" t="s">
        <v>144</v>
      </c>
      <c r="E15" s="14"/>
      <c r="F15" s="14" t="s">
        <v>16</v>
      </c>
      <c r="G15" s="15"/>
      <c r="H15" s="15"/>
      <c r="I15" s="15" t="str">
        <f aca="false">IF(H15="","",H15+90)</f>
        <v/>
      </c>
      <c r="J15" s="14"/>
    </row>
    <row r="16" customFormat="false" ht="15" hidden="false" customHeight="true" outlineLevel="0" collapsed="false">
      <c r="A16" s="16" t="n">
        <v>2</v>
      </c>
      <c r="B16" s="14" t="s">
        <v>165</v>
      </c>
      <c r="C16" s="14" t="s">
        <v>166</v>
      </c>
      <c r="D16" s="14" t="s">
        <v>144</v>
      </c>
      <c r="E16" s="14"/>
      <c r="F16" s="14" t="s">
        <v>16</v>
      </c>
      <c r="G16" s="15"/>
      <c r="H16" s="15"/>
      <c r="I16" s="15" t="str">
        <f aca="false">IF(H16="","",H16+90)</f>
        <v/>
      </c>
      <c r="J16" s="14"/>
    </row>
    <row r="17" customFormat="false" ht="15" hidden="false" customHeight="true" outlineLevel="0" collapsed="false">
      <c r="A17" s="16" t="n">
        <v>2</v>
      </c>
      <c r="B17" s="14" t="s">
        <v>167</v>
      </c>
      <c r="C17" s="14" t="s">
        <v>168</v>
      </c>
      <c r="D17" s="14" t="s">
        <v>144</v>
      </c>
      <c r="E17" s="14"/>
      <c r="F17" s="14" t="s">
        <v>16</v>
      </c>
      <c r="G17" s="15"/>
      <c r="H17" s="15"/>
      <c r="I17" s="15" t="str">
        <f aca="false">IF(H17="","",H17+90)</f>
        <v/>
      </c>
      <c r="J17" s="14"/>
    </row>
    <row r="18" customFormat="false" ht="15" hidden="false" customHeight="true" outlineLevel="0" collapsed="false">
      <c r="A18" s="16" t="n">
        <v>2</v>
      </c>
      <c r="B18" s="14" t="s">
        <v>169</v>
      </c>
      <c r="C18" s="14" t="s">
        <v>170</v>
      </c>
      <c r="D18" s="14" t="s">
        <v>171</v>
      </c>
      <c r="E18" s="14"/>
      <c r="F18" s="14" t="s">
        <v>16</v>
      </c>
      <c r="G18" s="15"/>
      <c r="H18" s="15"/>
      <c r="I18" s="15" t="str">
        <f aca="false">IF(H18="","",H18+90)</f>
        <v/>
      </c>
      <c r="J18" s="14"/>
    </row>
    <row r="19" customFormat="false" ht="15" hidden="false" customHeight="true" outlineLevel="0" collapsed="false">
      <c r="A19" s="16" t="n">
        <v>2</v>
      </c>
      <c r="B19" s="14" t="s">
        <v>172</v>
      </c>
      <c r="C19" s="14" t="s">
        <v>173</v>
      </c>
      <c r="D19" s="14" t="s">
        <v>174</v>
      </c>
      <c r="E19" s="14"/>
      <c r="F19" s="14" t="s">
        <v>16</v>
      </c>
      <c r="G19" s="15"/>
      <c r="H19" s="15"/>
      <c r="I19" s="15" t="str">
        <f aca="false">IF(H19="","",H19+90)</f>
        <v/>
      </c>
      <c r="J19" s="14"/>
    </row>
    <row r="20" customFormat="false" ht="15" hidden="false" customHeight="true" outlineLevel="0" collapsed="false">
      <c r="A20" s="16" t="n">
        <v>2</v>
      </c>
      <c r="B20" s="14" t="s">
        <v>175</v>
      </c>
      <c r="C20" s="14" t="s">
        <v>176</v>
      </c>
      <c r="D20" s="14" t="s">
        <v>160</v>
      </c>
      <c r="E20" s="14"/>
      <c r="F20" s="14" t="s">
        <v>16</v>
      </c>
      <c r="G20" s="15"/>
      <c r="H20" s="15"/>
      <c r="I20" s="15" t="str">
        <f aca="false">IF(H20="","",H20+90)</f>
        <v/>
      </c>
      <c r="J20" s="14"/>
    </row>
    <row r="21" customFormat="false" ht="15" hidden="false" customHeight="true" outlineLevel="0" collapsed="false">
      <c r="A21" s="16" t="n">
        <v>2</v>
      </c>
      <c r="B21" s="14" t="s">
        <v>177</v>
      </c>
      <c r="C21" s="14" t="s">
        <v>178</v>
      </c>
      <c r="D21" s="14" t="s">
        <v>179</v>
      </c>
      <c r="E21" s="14"/>
      <c r="F21" s="14" t="s">
        <v>16</v>
      </c>
      <c r="G21" s="15"/>
      <c r="H21" s="15"/>
      <c r="I21" s="15" t="str">
        <f aca="false">IF(H21="","",H21+90)</f>
        <v/>
      </c>
      <c r="J21" s="14"/>
    </row>
    <row r="22" customFormat="false" ht="15" hidden="false" customHeight="true" outlineLevel="0" collapsed="false">
      <c r="A22" s="16" t="n">
        <v>2</v>
      </c>
      <c r="B22" s="14" t="s">
        <v>180</v>
      </c>
      <c r="C22" s="14" t="s">
        <v>181</v>
      </c>
      <c r="D22" s="14" t="s">
        <v>182</v>
      </c>
      <c r="E22" s="14"/>
      <c r="F22" s="14" t="s">
        <v>16</v>
      </c>
      <c r="G22" s="15"/>
      <c r="H22" s="15"/>
      <c r="I22" s="15" t="str">
        <f aca="false">IF(H22="","",H22+90)</f>
        <v/>
      </c>
      <c r="J22" s="14"/>
    </row>
    <row r="23" customFormat="false" ht="15" hidden="false" customHeight="true" outlineLevel="0" collapsed="false">
      <c r="A23" s="16" t="n">
        <v>2</v>
      </c>
      <c r="B23" s="14" t="s">
        <v>183</v>
      </c>
      <c r="C23" s="14" t="s">
        <v>184</v>
      </c>
      <c r="D23" s="14" t="s">
        <v>185</v>
      </c>
      <c r="E23" s="14"/>
      <c r="F23" s="14" t="s">
        <v>16</v>
      </c>
      <c r="G23" s="15"/>
      <c r="H23" s="15"/>
      <c r="I23" s="15" t="str">
        <f aca="false">IF(H23="","",H23+90)</f>
        <v/>
      </c>
      <c r="J23" s="14"/>
    </row>
    <row r="24" customFormat="false" ht="15" hidden="false" customHeight="true" outlineLevel="0" collapsed="false">
      <c r="A24" s="16" t="n">
        <v>2</v>
      </c>
      <c r="B24" s="14" t="s">
        <v>186</v>
      </c>
      <c r="C24" s="14" t="s">
        <v>187</v>
      </c>
      <c r="D24" s="14" t="s">
        <v>182</v>
      </c>
      <c r="E24" s="14"/>
      <c r="F24" s="14" t="s">
        <v>16</v>
      </c>
      <c r="G24" s="15"/>
      <c r="H24" s="15"/>
      <c r="I24" s="15" t="str">
        <f aca="false">IF(H24="","",H24+90)</f>
        <v/>
      </c>
      <c r="J24" s="14"/>
    </row>
    <row r="25" customFormat="false" ht="15" hidden="false" customHeight="true" outlineLevel="0" collapsed="false">
      <c r="A25" s="16" t="n">
        <v>2</v>
      </c>
      <c r="B25" s="14" t="s">
        <v>188</v>
      </c>
      <c r="C25" s="14" t="s">
        <v>189</v>
      </c>
      <c r="D25" s="14" t="s">
        <v>160</v>
      </c>
      <c r="E25" s="14"/>
      <c r="F25" s="14" t="s">
        <v>16</v>
      </c>
      <c r="G25" s="15"/>
      <c r="H25" s="15"/>
      <c r="I25" s="15" t="str">
        <f aca="false">IF(H25="","",H25+90)</f>
        <v/>
      </c>
      <c r="J25" s="14"/>
    </row>
    <row r="26" customFormat="false" ht="15" hidden="false" customHeight="true" outlineLevel="0" collapsed="false">
      <c r="A26" s="16" t="n">
        <v>2</v>
      </c>
      <c r="B26" s="14" t="s">
        <v>190</v>
      </c>
      <c r="C26" s="14" t="s">
        <v>191</v>
      </c>
      <c r="D26" s="14" t="s">
        <v>160</v>
      </c>
      <c r="E26" s="14"/>
      <c r="F26" s="14" t="s">
        <v>16</v>
      </c>
      <c r="G26" s="15"/>
      <c r="H26" s="15"/>
      <c r="I26" s="15" t="str">
        <f aca="false">IF(H26="","",H26+90)</f>
        <v/>
      </c>
      <c r="J26" s="14"/>
    </row>
    <row r="27" customFormat="false" ht="15" hidden="false" customHeight="true" outlineLevel="0" collapsed="false">
      <c r="A27" s="16" t="n">
        <v>2</v>
      </c>
      <c r="B27" s="14" t="s">
        <v>192</v>
      </c>
      <c r="C27" s="14" t="s">
        <v>193</v>
      </c>
      <c r="D27" s="14" t="s">
        <v>160</v>
      </c>
      <c r="E27" s="14"/>
      <c r="F27" s="14" t="s">
        <v>16</v>
      </c>
      <c r="G27" s="15"/>
      <c r="H27" s="15"/>
      <c r="I27" s="15" t="str">
        <f aca="false">IF(H27="","",H27+90)</f>
        <v/>
      </c>
      <c r="J27" s="14"/>
    </row>
    <row r="28" customFormat="false" ht="15" hidden="false" customHeight="true" outlineLevel="0" collapsed="false">
      <c r="A28" s="16" t="n">
        <v>2</v>
      </c>
      <c r="B28" s="14" t="s">
        <v>194</v>
      </c>
      <c r="C28" s="14" t="s">
        <v>195</v>
      </c>
      <c r="D28" s="14" t="s">
        <v>144</v>
      </c>
      <c r="E28" s="14"/>
      <c r="F28" s="14" t="s">
        <v>16</v>
      </c>
      <c r="G28" s="15"/>
      <c r="H28" s="15"/>
      <c r="I28" s="15" t="str">
        <f aca="false">IF(H28="","",H28+90)</f>
        <v/>
      </c>
      <c r="J28" s="14"/>
    </row>
    <row r="29" customFormat="false" ht="15" hidden="false" customHeight="true" outlineLevel="0" collapsed="false">
      <c r="A29" s="16" t="n">
        <v>2</v>
      </c>
      <c r="B29" s="14" t="s">
        <v>196</v>
      </c>
      <c r="C29" s="14" t="s">
        <v>197</v>
      </c>
      <c r="D29" s="14" t="s">
        <v>144</v>
      </c>
      <c r="E29" s="14"/>
      <c r="F29" s="14" t="s">
        <v>16</v>
      </c>
      <c r="G29" s="15"/>
      <c r="H29" s="15"/>
      <c r="I29" s="15" t="str">
        <f aca="false">IF(H29="","",H29+90)</f>
        <v/>
      </c>
      <c r="J29" s="14"/>
    </row>
    <row r="30" customFormat="false" ht="15" hidden="false" customHeight="true" outlineLevel="0" collapsed="false">
      <c r="A30" s="16" t="n">
        <v>2</v>
      </c>
      <c r="B30" s="14" t="s">
        <v>198</v>
      </c>
      <c r="C30" s="14" t="s">
        <v>199</v>
      </c>
      <c r="D30" s="14" t="s">
        <v>144</v>
      </c>
      <c r="E30" s="14"/>
      <c r="F30" s="14" t="s">
        <v>16</v>
      </c>
      <c r="G30" s="15"/>
      <c r="H30" s="15"/>
      <c r="I30" s="15" t="str">
        <f aca="false">IF(H30="","",H30+90)</f>
        <v/>
      </c>
      <c r="J30" s="14"/>
    </row>
    <row r="31" customFormat="false" ht="15" hidden="false" customHeight="true" outlineLevel="0" collapsed="false">
      <c r="A31" s="16" t="n">
        <v>2</v>
      </c>
      <c r="B31" s="14" t="s">
        <v>200</v>
      </c>
      <c r="C31" s="14" t="s">
        <v>201</v>
      </c>
      <c r="D31" s="14" t="s">
        <v>202</v>
      </c>
      <c r="E31" s="14"/>
      <c r="F31" s="14" t="s">
        <v>16</v>
      </c>
      <c r="G31" s="15"/>
      <c r="H31" s="15"/>
      <c r="I31" s="15" t="str">
        <f aca="false">IF(H31="","",H31+90)</f>
        <v/>
      </c>
      <c r="J31" s="14"/>
    </row>
    <row r="32" customFormat="false" ht="23.25" hidden="false" customHeight="true" outlineLevel="0" collapsed="false">
      <c r="A32" s="17" t="n">
        <v>3</v>
      </c>
      <c r="B32" s="14" t="s">
        <v>203</v>
      </c>
      <c r="C32" s="14" t="s">
        <v>204</v>
      </c>
      <c r="D32" s="14" t="s">
        <v>205</v>
      </c>
      <c r="E32" s="14"/>
      <c r="F32" s="14" t="s">
        <v>16</v>
      </c>
      <c r="G32" s="15"/>
      <c r="H32" s="15"/>
      <c r="I32" s="15" t="str">
        <f aca="false">IF(H32="","",H32+90)</f>
        <v/>
      </c>
      <c r="J32" s="14"/>
    </row>
  </sheetData>
  <dataValidations count="1">
    <dataValidation allowBlank="true" errorStyle="stop" operator="between" showDropDown="false" showErrorMessage="false" showInputMessage="false" sqref="F2:F32" type="list">
      <formula1>"Not started,Submitted,Confirmation pending,Removed - verified,Reappeared,Blocked / 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62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50"/>
  </cols>
  <sheetData>
    <row r="1" customFormat="false" ht="30" hidden="false" customHeight="true" outlineLevel="0" collapsed="false">
      <c r="A1" s="8" t="s">
        <v>47</v>
      </c>
      <c r="B1" s="8" t="s">
        <v>206</v>
      </c>
      <c r="C1" s="8" t="s">
        <v>207</v>
      </c>
      <c r="D1" s="8" t="s">
        <v>50</v>
      </c>
      <c r="E1" s="8" t="s">
        <v>124</v>
      </c>
      <c r="F1" s="8" t="s">
        <v>208</v>
      </c>
      <c r="G1" s="8" t="s">
        <v>53</v>
      </c>
    </row>
    <row r="2" customFormat="false" ht="15" hidden="false" customHeight="true" outlineLevel="0" collapsed="false">
      <c r="A2" s="13" t="n">
        <v>1</v>
      </c>
      <c r="B2" s="14" t="s">
        <v>209</v>
      </c>
      <c r="C2" s="14" t="s">
        <v>210</v>
      </c>
      <c r="D2" s="14" t="s">
        <v>16</v>
      </c>
      <c r="E2" s="15"/>
      <c r="F2" s="15" t="str">
        <f aca="false">IF(E2="","",E2+45)</f>
        <v/>
      </c>
      <c r="G2" s="14" t="s">
        <v>211</v>
      </c>
    </row>
    <row r="3" customFormat="false" ht="15" hidden="false" customHeight="true" outlineLevel="0" collapsed="false">
      <c r="A3" s="13" t="n">
        <v>1</v>
      </c>
      <c r="B3" s="14" t="s">
        <v>212</v>
      </c>
      <c r="C3" s="14" t="s">
        <v>213</v>
      </c>
      <c r="D3" s="14" t="s">
        <v>16</v>
      </c>
      <c r="E3" s="15"/>
      <c r="F3" s="15" t="str">
        <f aca="false">IF(E3="","",E3+45)</f>
        <v/>
      </c>
      <c r="G3" s="14" t="s">
        <v>214</v>
      </c>
    </row>
    <row r="4" customFormat="false" ht="15" hidden="false" customHeight="true" outlineLevel="0" collapsed="false">
      <c r="A4" s="13" t="n">
        <v>1</v>
      </c>
      <c r="B4" s="14" t="s">
        <v>215</v>
      </c>
      <c r="C4" s="14" t="s">
        <v>216</v>
      </c>
      <c r="D4" s="14" t="s">
        <v>16</v>
      </c>
      <c r="E4" s="15"/>
      <c r="F4" s="15" t="str">
        <f aca="false">IF(E4="","",E4+45)</f>
        <v/>
      </c>
      <c r="G4" s="14" t="s">
        <v>217</v>
      </c>
    </row>
    <row r="5" customFormat="false" ht="15" hidden="false" customHeight="true" outlineLevel="0" collapsed="false">
      <c r="A5" s="13" t="n">
        <v>1</v>
      </c>
      <c r="B5" s="14" t="s">
        <v>218</v>
      </c>
      <c r="C5" s="14" t="s">
        <v>219</v>
      </c>
      <c r="D5" s="14" t="s">
        <v>16</v>
      </c>
      <c r="E5" s="15"/>
      <c r="F5" s="15" t="str">
        <f aca="false">IF(E5="","",E5+45)</f>
        <v/>
      </c>
      <c r="G5" s="14" t="s">
        <v>220</v>
      </c>
    </row>
    <row r="6" customFormat="false" ht="23.25" hidden="false" customHeight="true" outlineLevel="0" collapsed="false">
      <c r="A6" s="13" t="n">
        <v>1</v>
      </c>
      <c r="B6" s="14" t="s">
        <v>221</v>
      </c>
      <c r="C6" s="14" t="s">
        <v>222</v>
      </c>
      <c r="D6" s="14" t="s">
        <v>16</v>
      </c>
      <c r="E6" s="15"/>
      <c r="F6" s="15" t="str">
        <f aca="false">IF(E6="","",E6+45)</f>
        <v/>
      </c>
      <c r="G6" s="14"/>
    </row>
    <row r="7" customFormat="false" ht="23.25" hidden="false" customHeight="true" outlineLevel="0" collapsed="false">
      <c r="A7" s="16" t="n">
        <v>2</v>
      </c>
      <c r="B7" s="14" t="s">
        <v>223</v>
      </c>
      <c r="C7" s="14" t="s">
        <v>224</v>
      </c>
      <c r="D7" s="14" t="s">
        <v>16</v>
      </c>
      <c r="E7" s="15"/>
      <c r="F7" s="15" t="str">
        <f aca="false">IF(E7="","",E7+45)</f>
        <v/>
      </c>
      <c r="G7" s="14" t="s">
        <v>225</v>
      </c>
    </row>
    <row r="8" customFormat="false" ht="15" hidden="false" customHeight="true" outlineLevel="0" collapsed="false">
      <c r="A8" s="16" t="n">
        <v>2</v>
      </c>
      <c r="B8" s="14" t="s">
        <v>226</v>
      </c>
      <c r="C8" s="14" t="s">
        <v>227</v>
      </c>
      <c r="D8" s="14" t="s">
        <v>16</v>
      </c>
      <c r="E8" s="15"/>
      <c r="F8" s="15" t="str">
        <f aca="false">IF(E8="","",E8+45)</f>
        <v/>
      </c>
      <c r="G8" s="14" t="s">
        <v>228</v>
      </c>
    </row>
    <row r="9" customFormat="false" ht="15" hidden="false" customHeight="true" outlineLevel="0" collapsed="false">
      <c r="A9" s="16" t="n">
        <v>2</v>
      </c>
      <c r="B9" s="14" t="s">
        <v>229</v>
      </c>
      <c r="C9" s="14" t="s">
        <v>230</v>
      </c>
      <c r="D9" s="14" t="s">
        <v>16</v>
      </c>
      <c r="E9" s="15"/>
      <c r="F9" s="15" t="str">
        <f aca="false">IF(E9="","",E9+45)</f>
        <v/>
      </c>
      <c r="G9" s="14" t="s">
        <v>231</v>
      </c>
    </row>
    <row r="10" customFormat="false" ht="15" hidden="false" customHeight="true" outlineLevel="0" collapsed="false">
      <c r="A10" s="16" t="n">
        <v>2</v>
      </c>
      <c r="B10" s="14" t="s">
        <v>232</v>
      </c>
      <c r="C10" s="14" t="s">
        <v>233</v>
      </c>
      <c r="D10" s="14" t="s">
        <v>16</v>
      </c>
      <c r="E10" s="15"/>
      <c r="F10" s="15" t="str">
        <f aca="false">IF(E10="","",E10+45)</f>
        <v/>
      </c>
      <c r="G10" s="14" t="s">
        <v>231</v>
      </c>
    </row>
    <row r="11" customFormat="false" ht="15" hidden="false" customHeight="true" outlineLevel="0" collapsed="false">
      <c r="A11" s="16" t="n">
        <v>2</v>
      </c>
      <c r="B11" s="14" t="s">
        <v>234</v>
      </c>
      <c r="C11" s="14" t="s">
        <v>235</v>
      </c>
      <c r="D11" s="14" t="s">
        <v>16</v>
      </c>
      <c r="E11" s="15"/>
      <c r="F11" s="15" t="str">
        <f aca="false">IF(E11="","",E11+45)</f>
        <v/>
      </c>
      <c r="G11" s="14" t="s">
        <v>236</v>
      </c>
    </row>
    <row r="13" customFormat="false" ht="15" hidden="false" customHeight="true" outlineLevel="0" collapsed="false">
      <c r="B13" s="18" t="s">
        <v>237</v>
      </c>
    </row>
  </sheetData>
  <dataValidations count="1">
    <dataValidation allowBlank="true" errorStyle="stop" operator="between" showDropDown="false" showErrorMessage="false" showInputMessage="false" sqref="D2:D11" type="list">
      <formula1>"Not started,Submitted,Confirmation pending,Removed - verified,Reappeared,Blocked / 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8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52"/>
  </cols>
  <sheetData>
    <row r="1" customFormat="false" ht="30" hidden="false" customHeight="true" outlineLevel="0" collapsed="false">
      <c r="A1" s="8" t="s">
        <v>238</v>
      </c>
      <c r="B1" s="8" t="s">
        <v>239</v>
      </c>
      <c r="C1" s="8" t="s">
        <v>240</v>
      </c>
      <c r="D1" s="8" t="s">
        <v>50</v>
      </c>
      <c r="E1" s="8" t="s">
        <v>51</v>
      </c>
      <c r="F1" s="8" t="s">
        <v>53</v>
      </c>
    </row>
    <row r="2" customFormat="false" ht="15" hidden="false" customHeight="true" outlineLevel="0" collapsed="false">
      <c r="A2" s="14" t="s">
        <v>241</v>
      </c>
      <c r="B2" s="14" t="s">
        <v>242</v>
      </c>
      <c r="C2" s="14" t="s">
        <v>243</v>
      </c>
      <c r="D2" s="14" t="s">
        <v>16</v>
      </c>
      <c r="E2" s="15"/>
      <c r="F2" s="14" t="s">
        <v>244</v>
      </c>
    </row>
    <row r="3" customFormat="false" ht="15" hidden="false" customHeight="true" outlineLevel="0" collapsed="false">
      <c r="A3" s="14" t="s">
        <v>241</v>
      </c>
      <c r="B3" s="14" t="s">
        <v>245</v>
      </c>
      <c r="C3" s="14" t="s">
        <v>246</v>
      </c>
      <c r="D3" s="14" t="s">
        <v>16</v>
      </c>
      <c r="E3" s="15"/>
      <c r="F3" s="14"/>
    </row>
    <row r="4" customFormat="false" ht="15" hidden="false" customHeight="true" outlineLevel="0" collapsed="false">
      <c r="A4" s="14" t="s">
        <v>241</v>
      </c>
      <c r="B4" s="14" t="s">
        <v>247</v>
      </c>
      <c r="C4" s="14" t="s">
        <v>246</v>
      </c>
      <c r="D4" s="14" t="s">
        <v>16</v>
      </c>
      <c r="E4" s="15"/>
      <c r="F4" s="14"/>
    </row>
    <row r="5" customFormat="false" ht="15" hidden="false" customHeight="true" outlineLevel="0" collapsed="false">
      <c r="A5" s="14" t="s">
        <v>241</v>
      </c>
      <c r="B5" s="14" t="s">
        <v>248</v>
      </c>
      <c r="C5" s="14" t="s">
        <v>246</v>
      </c>
      <c r="D5" s="14" t="s">
        <v>16</v>
      </c>
      <c r="E5" s="15"/>
      <c r="F5" s="14"/>
    </row>
    <row r="6" customFormat="false" ht="15" hidden="false" customHeight="true" outlineLevel="0" collapsed="false">
      <c r="A6" s="14" t="s">
        <v>241</v>
      </c>
      <c r="B6" s="14" t="s">
        <v>249</v>
      </c>
      <c r="C6" s="14" t="s">
        <v>250</v>
      </c>
      <c r="D6" s="14" t="s">
        <v>16</v>
      </c>
      <c r="E6" s="15"/>
      <c r="F6" s="14"/>
    </row>
    <row r="7" customFormat="false" ht="15" hidden="false" customHeight="true" outlineLevel="0" collapsed="false">
      <c r="A7" s="14" t="s">
        <v>251</v>
      </c>
      <c r="B7" s="14" t="s">
        <v>252</v>
      </c>
      <c r="C7" s="14" t="s">
        <v>253</v>
      </c>
      <c r="D7" s="14" t="s">
        <v>16</v>
      </c>
      <c r="E7" s="15"/>
      <c r="F7" s="14" t="s">
        <v>254</v>
      </c>
    </row>
    <row r="8" customFormat="false" ht="15" hidden="false" customHeight="true" outlineLevel="0" collapsed="false">
      <c r="A8" s="14" t="s">
        <v>255</v>
      </c>
      <c r="B8" s="14" t="s">
        <v>256</v>
      </c>
      <c r="C8" s="14" t="s">
        <v>257</v>
      </c>
      <c r="D8" s="14" t="s">
        <v>16</v>
      </c>
      <c r="E8" s="15"/>
      <c r="F8" s="14"/>
    </row>
    <row r="9" customFormat="false" ht="15" hidden="false" customHeight="true" outlineLevel="0" collapsed="false">
      <c r="A9" s="14" t="s">
        <v>258</v>
      </c>
      <c r="B9" s="14" t="s">
        <v>259</v>
      </c>
      <c r="C9" s="14" t="s">
        <v>253</v>
      </c>
      <c r="D9" s="14" t="s">
        <v>16</v>
      </c>
      <c r="E9" s="15"/>
      <c r="F9" s="14"/>
    </row>
    <row r="10" customFormat="false" ht="15" hidden="false" customHeight="true" outlineLevel="0" collapsed="false">
      <c r="A10" s="14" t="s">
        <v>260</v>
      </c>
      <c r="B10" s="14" t="s">
        <v>261</v>
      </c>
      <c r="C10" s="14" t="s">
        <v>253</v>
      </c>
      <c r="D10" s="14" t="s">
        <v>16</v>
      </c>
      <c r="E10" s="15"/>
      <c r="F10" s="14" t="s">
        <v>262</v>
      </c>
    </row>
    <row r="11" customFormat="false" ht="15" hidden="false" customHeight="true" outlineLevel="0" collapsed="false">
      <c r="A11" s="14" t="s">
        <v>263</v>
      </c>
      <c r="B11" s="14" t="s">
        <v>264</v>
      </c>
      <c r="C11" s="14" t="s">
        <v>265</v>
      </c>
      <c r="D11" s="14" t="s">
        <v>16</v>
      </c>
      <c r="E11" s="15"/>
      <c r="F11" s="14" t="s">
        <v>266</v>
      </c>
    </row>
    <row r="12" customFormat="false" ht="15" hidden="false" customHeight="true" outlineLevel="0" collapsed="false">
      <c r="A12" s="14" t="s">
        <v>267</v>
      </c>
      <c r="B12" s="14" t="s">
        <v>268</v>
      </c>
      <c r="C12" s="14" t="s">
        <v>265</v>
      </c>
      <c r="D12" s="14" t="s">
        <v>16</v>
      </c>
      <c r="E12" s="15"/>
      <c r="F12" s="14" t="s">
        <v>269</v>
      </c>
    </row>
    <row r="13" customFormat="false" ht="15" hidden="false" customHeight="true" outlineLevel="0" collapsed="false">
      <c r="A13" s="14" t="s">
        <v>270</v>
      </c>
      <c r="B13" s="14" t="s">
        <v>271</v>
      </c>
      <c r="C13" s="14" t="s">
        <v>272</v>
      </c>
      <c r="D13" s="14" t="s">
        <v>16</v>
      </c>
      <c r="E13" s="15"/>
      <c r="F13" s="14" t="s">
        <v>273</v>
      </c>
    </row>
    <row r="14" customFormat="false" ht="15" hidden="false" customHeight="true" outlineLevel="0" collapsed="false">
      <c r="A14" s="14" t="s">
        <v>270</v>
      </c>
      <c r="B14" s="14" t="s">
        <v>274</v>
      </c>
      <c r="C14" s="14" t="s">
        <v>275</v>
      </c>
      <c r="D14" s="14" t="s">
        <v>16</v>
      </c>
      <c r="E14" s="15"/>
      <c r="F14" s="14"/>
    </row>
    <row r="15" customFormat="false" ht="15" hidden="false" customHeight="true" outlineLevel="0" collapsed="false">
      <c r="A15" s="14" t="s">
        <v>276</v>
      </c>
      <c r="B15" s="14" t="s">
        <v>277</v>
      </c>
      <c r="C15" s="14" t="s">
        <v>278</v>
      </c>
      <c r="D15" s="14" t="s">
        <v>16</v>
      </c>
      <c r="E15" s="15"/>
      <c r="F15" s="14" t="s">
        <v>279</v>
      </c>
    </row>
    <row r="16" customFormat="false" ht="23.25" hidden="false" customHeight="true" outlineLevel="0" collapsed="false">
      <c r="A16" s="14" t="s">
        <v>280</v>
      </c>
      <c r="B16" s="14" t="s">
        <v>281</v>
      </c>
      <c r="C16" s="14" t="s">
        <v>282</v>
      </c>
      <c r="D16" s="14" t="s">
        <v>16</v>
      </c>
      <c r="E16" s="15"/>
      <c r="F16" s="14"/>
    </row>
    <row r="17" customFormat="false" ht="15" hidden="false" customHeight="true" outlineLevel="0" collapsed="false">
      <c r="A17" s="14" t="s">
        <v>280</v>
      </c>
      <c r="B17" s="14" t="s">
        <v>283</v>
      </c>
      <c r="C17" s="14" t="s">
        <v>284</v>
      </c>
      <c r="D17" s="14" t="s">
        <v>16</v>
      </c>
      <c r="E17" s="15"/>
      <c r="F17" s="14"/>
    </row>
    <row r="18" customFormat="false" ht="15" hidden="false" customHeight="true" outlineLevel="0" collapsed="false">
      <c r="A18" s="14" t="s">
        <v>280</v>
      </c>
      <c r="B18" s="14" t="s">
        <v>285</v>
      </c>
      <c r="C18" s="14"/>
      <c r="D18" s="14" t="s">
        <v>16</v>
      </c>
      <c r="E18" s="15"/>
      <c r="F18" s="14"/>
    </row>
    <row r="19" customFormat="false" ht="15" hidden="false" customHeight="true" outlineLevel="0" collapsed="false">
      <c r="A19" s="14" t="s">
        <v>286</v>
      </c>
      <c r="B19" s="14" t="s">
        <v>287</v>
      </c>
      <c r="C19" s="14" t="s">
        <v>288</v>
      </c>
      <c r="D19" s="14" t="s">
        <v>16</v>
      </c>
      <c r="E19" s="15"/>
      <c r="F19" s="14" t="s">
        <v>289</v>
      </c>
    </row>
    <row r="20" customFormat="false" ht="15" hidden="false" customHeight="true" outlineLevel="0" collapsed="false">
      <c r="A20" s="14" t="s">
        <v>290</v>
      </c>
      <c r="B20" s="14" t="s">
        <v>291</v>
      </c>
      <c r="C20" s="14" t="s">
        <v>105</v>
      </c>
      <c r="D20" s="14" t="s">
        <v>16</v>
      </c>
      <c r="E20" s="15"/>
      <c r="F20" s="14" t="s">
        <v>292</v>
      </c>
    </row>
  </sheetData>
  <dataValidations count="1">
    <dataValidation allowBlank="true" errorStyle="stop" operator="between" showDropDown="false" showErrorMessage="false" showInputMessage="false" sqref="D2:D20" type="list">
      <formula1>"Not started,Submitted,Confirmation pending,Removed - verified,Reappeared,Blocked / 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2" t="s">
        <v>293</v>
      </c>
    </row>
    <row r="2" customFormat="false" ht="30" hidden="false" customHeight="true" outlineLevel="0" collapsed="false">
      <c r="A2" s="19" t="s">
        <v>294</v>
      </c>
      <c r="B2" s="19"/>
      <c r="C2" s="19"/>
    </row>
    <row r="4" customFormat="false" ht="15" hidden="false" customHeight="true" outlineLevel="0" collapsed="false">
      <c r="A4" s="20" t="s">
        <v>295</v>
      </c>
      <c r="B4" s="20" t="s">
        <v>296</v>
      </c>
      <c r="C4" s="20" t="s">
        <v>297</v>
      </c>
    </row>
    <row r="5" customFormat="false" ht="15" hidden="false" customHeight="true" outlineLevel="0" collapsed="false">
      <c r="A5" s="21" t="s">
        <v>298</v>
      </c>
      <c r="B5" s="22"/>
      <c r="C5" s="23" t="s">
        <v>299</v>
      </c>
    </row>
    <row r="6" customFormat="false" ht="15" hidden="false" customHeight="true" outlineLevel="0" collapsed="false">
      <c r="A6" s="21" t="s">
        <v>300</v>
      </c>
      <c r="B6" s="22"/>
      <c r="C6" s="23" t="s">
        <v>301</v>
      </c>
    </row>
    <row r="7" customFormat="false" ht="15" hidden="false" customHeight="true" outlineLevel="0" collapsed="false">
      <c r="A7" s="21" t="s">
        <v>302</v>
      </c>
      <c r="B7" s="22"/>
      <c r="C7" s="23"/>
    </row>
    <row r="8" customFormat="false" ht="15" hidden="false" customHeight="true" outlineLevel="0" collapsed="false">
      <c r="A8" s="21" t="s">
        <v>303</v>
      </c>
      <c r="B8" s="22"/>
      <c r="C8" s="23" t="s">
        <v>304</v>
      </c>
    </row>
    <row r="9" customFormat="false" ht="15" hidden="false" customHeight="true" outlineLevel="0" collapsed="false">
      <c r="A9" s="21" t="s">
        <v>305</v>
      </c>
      <c r="B9" s="22"/>
      <c r="C9" s="23"/>
    </row>
    <row r="10" customFormat="false" ht="15" hidden="false" customHeight="true" outlineLevel="0" collapsed="false">
      <c r="A10" s="21" t="s">
        <v>306</v>
      </c>
      <c r="B10" s="22"/>
      <c r="C10" s="23" t="s">
        <v>307</v>
      </c>
    </row>
    <row r="11" customFormat="false" ht="15" hidden="false" customHeight="true" outlineLevel="0" collapsed="false">
      <c r="A11" s="21" t="s">
        <v>308</v>
      </c>
      <c r="B11" s="22"/>
      <c r="C11" s="23"/>
    </row>
    <row r="12" customFormat="false" ht="15" hidden="false" customHeight="true" outlineLevel="0" collapsed="false">
      <c r="A12" s="21" t="s">
        <v>309</v>
      </c>
      <c r="B12" s="22"/>
      <c r="C12" s="23"/>
    </row>
    <row r="13" customFormat="false" ht="15" hidden="false" customHeight="true" outlineLevel="0" collapsed="false">
      <c r="A13" s="21" t="s">
        <v>310</v>
      </c>
      <c r="B13" s="22"/>
      <c r="C13" s="23" t="s">
        <v>311</v>
      </c>
    </row>
    <row r="14" customFormat="false" ht="15" hidden="false" customHeight="true" outlineLevel="0" collapsed="false">
      <c r="A14" s="21" t="s">
        <v>312</v>
      </c>
      <c r="B14" s="22"/>
      <c r="C14" s="23" t="s">
        <v>313</v>
      </c>
    </row>
    <row r="15" customFormat="false" ht="15" hidden="false" customHeight="true" outlineLevel="0" collapsed="false">
      <c r="A15" s="21" t="s">
        <v>314</v>
      </c>
      <c r="B15" s="22" t="s">
        <v>315</v>
      </c>
      <c r="C15" s="23" t="s">
        <v>316</v>
      </c>
    </row>
    <row r="16" customFormat="false" ht="15" hidden="false" customHeight="true" outlineLevel="0" collapsed="false">
      <c r="A16" s="21" t="s">
        <v>317</v>
      </c>
      <c r="B16" s="22"/>
      <c r="C16" s="23" t="s">
        <v>318</v>
      </c>
    </row>
    <row r="17" customFormat="false" ht="15" hidden="false" customHeight="true" outlineLevel="0" collapsed="false">
      <c r="A17" s="21" t="s">
        <v>319</v>
      </c>
      <c r="B17" s="22"/>
      <c r="C17" s="23" t="s">
        <v>320</v>
      </c>
    </row>
    <row r="18" customFormat="false" ht="23.25" hidden="false" customHeight="true" outlineLevel="0" collapsed="false">
      <c r="A18" s="21" t="s">
        <v>321</v>
      </c>
      <c r="B18" s="22"/>
      <c r="C18" s="23" t="s">
        <v>322</v>
      </c>
    </row>
    <row r="21" customFormat="false" ht="15" hidden="false" customHeight="true" outlineLevel="0" collapsed="false">
      <c r="A21" s="24" t="s">
        <v>323</v>
      </c>
    </row>
    <row r="22" customFormat="false" ht="15" hidden="false" customHeight="true" outlineLevel="0" collapsed="false">
      <c r="A22" s="7" t="s">
        <v>324</v>
      </c>
    </row>
    <row r="23" customFormat="false" ht="15" hidden="false" customHeight="true" outlineLevel="0" collapsed="false">
      <c r="A23" s="7"/>
    </row>
    <row r="24" customFormat="false" ht="15" hidden="false" customHeight="true" outlineLevel="0" collapsed="false">
      <c r="A24" s="7" t="s">
        <v>325</v>
      </c>
    </row>
    <row r="25" customFormat="false" ht="15" hidden="false" customHeight="true" outlineLevel="0" collapsed="false">
      <c r="A25" s="7"/>
    </row>
    <row r="26" customFormat="false" ht="15" hidden="false" customHeight="true" outlineLevel="0" collapsed="false">
      <c r="A26" s="7" t="s">
        <v>326</v>
      </c>
    </row>
    <row r="27" customFormat="false" ht="15" hidden="false" customHeight="true" outlineLevel="0" collapsed="false">
      <c r="A27" s="7" t="s">
        <v>327</v>
      </c>
    </row>
    <row r="28" customFormat="false" ht="15" hidden="false" customHeight="true" outlineLevel="0" collapsed="false">
      <c r="A28" s="7" t="s">
        <v>328</v>
      </c>
    </row>
    <row r="29" customFormat="false" ht="15" hidden="false" customHeight="true" outlineLevel="0" collapsed="false">
      <c r="A29" s="7" t="s">
        <v>329</v>
      </c>
    </row>
    <row r="30" customFormat="false" ht="15" hidden="false" customHeight="true" outlineLevel="0" collapsed="false">
      <c r="A30" s="7" t="s">
        <v>330</v>
      </c>
    </row>
    <row r="31" customFormat="false" ht="15" hidden="false" customHeight="true" outlineLevel="0" collapsed="false">
      <c r="A31" s="7"/>
    </row>
    <row r="32" customFormat="false" ht="15" hidden="false" customHeight="true" outlineLevel="0" collapsed="false">
      <c r="A32" s="7" t="s">
        <v>331</v>
      </c>
    </row>
    <row r="33" customFormat="false" ht="15" hidden="false" customHeight="true" outlineLevel="0" collapsed="false">
      <c r="A33" s="7"/>
    </row>
    <row r="34" customFormat="false" ht="15" hidden="false" customHeight="true" outlineLevel="0" collapsed="false">
      <c r="A34" s="7" t="s">
        <v>332</v>
      </c>
    </row>
    <row r="35" customFormat="false" ht="15" hidden="false" customHeight="true" outlineLevel="0" collapsed="false">
      <c r="A35" s="7"/>
    </row>
    <row r="36" customFormat="false" ht="15" hidden="false" customHeight="true" outlineLevel="0" collapsed="false">
      <c r="A36" s="7" t="s">
        <v>333</v>
      </c>
    </row>
    <row r="37" customFormat="false" ht="15" hidden="false" customHeight="true" outlineLevel="0" collapsed="false">
      <c r="A37" s="7"/>
    </row>
    <row r="38" customFormat="false" ht="15" hidden="false" customHeight="true" outlineLevel="0" collapsed="false">
      <c r="A38" s="7" t="s">
        <v>334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2026-07-26T01:24:46Z</dcterms:created>
  <dc:creator>openpyxl</dc:creator>
  <dc:description/>
  <dc:language>en-US</dc:language>
  <cp:lastModifiedBy/>
  <dcterms:modified xsi:type="dcterms:W3CDTF">2026-07-26T01:31:57Z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